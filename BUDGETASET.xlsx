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DEV\REACT\ITAM\be\"/>
    </mc:Choice>
  </mc:AlternateContent>
  <xr:revisionPtr revIDLastSave="0" documentId="13_ncr:1_{CA654920-F746-47E4-B8B5-1CE96C60B0C6}" xr6:coauthVersionLast="47" xr6:coauthVersionMax="47" xr10:uidLastSave="{00000000-0000-0000-0000-000000000000}"/>
  <bookViews>
    <workbookView xWindow="-120" yWindow="-120" windowWidth="29040" windowHeight="15720" tabRatio="493" xr2:uid="{00000000-000D-0000-FFFF-FFFF00000000}"/>
  </bookViews>
  <sheets>
    <sheet name="12.IT  (APPROVED)." sheetId="228" r:id="rId1"/>
  </sheets>
  <externalReferences>
    <externalReference r:id="rId2"/>
  </externalReferences>
  <definedNames>
    <definedName name="_Fill" localSheetId="0" hidden="1">[1]除却設備一覧!#REF!</definedName>
    <definedName name="_Fill" hidden="1">[1]除却設備一覧!#REF!</definedName>
    <definedName name="_xlnm._FilterDatabase" localSheetId="0" hidden="1">#REF!</definedName>
    <definedName name="_xlnm._FilterDatabase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aaa" hidden="1">#REF!</definedName>
    <definedName name="abab" hidden="1">#REF!</definedName>
    <definedName name="abc" hidden="1">#REF!</definedName>
    <definedName name="AccessDatabase" hidden="1">"C:\생산판매\long98\9802장판원본.mdb"</definedName>
    <definedName name="dddd" hidden="1">#REF!</definedName>
    <definedName name="iii" localSheetId="0" hidden="1">#REF!</definedName>
    <definedName name="iii" hidden="1">#REF!</definedName>
    <definedName name="INTERNET_CHRG" localSheetId="0">#REF!</definedName>
    <definedName name="INTERNET_CHRG">#REF!</definedName>
    <definedName name="ooo" hidden="1">#REF!</definedName>
    <definedName name="PM" hidden="1">#REF!</definedName>
    <definedName name="ppppp" hidden="1">#REF!</definedName>
    <definedName name="_xlnm.Print_Area" localSheetId="0">'12.IT  (APPROVED).'!$A$1:$AE$233</definedName>
    <definedName name="RM_IT_HARDWARE" localSheetId="0">#REF!</definedName>
    <definedName name="RM_IT_HARDWARE">#REF!</definedName>
    <definedName name="STASIONARY" localSheetId="0">#REF!</definedName>
    <definedName name="STASIONARY">#REF!</definedName>
    <definedName name="SUPLIES" localSheetId="0">#REF!</definedName>
    <definedName name="SUPLIES">#REF!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6" i="228" l="1"/>
  <c r="N230" i="228"/>
  <c r="N229" i="228"/>
  <c r="N231" i="228" s="1"/>
  <c r="N224" i="228"/>
  <c r="M224" i="228"/>
  <c r="V223" i="228"/>
  <c r="R223" i="228"/>
  <c r="S223" i="228" s="1"/>
  <c r="U223" i="228" s="1"/>
  <c r="P223" i="228"/>
  <c r="W223" i="228" s="1"/>
  <c r="AD222" i="228"/>
  <c r="AE222" i="228" s="1"/>
  <c r="P222" i="228"/>
  <c r="W222" i="228" s="1"/>
  <c r="V221" i="228"/>
  <c r="R221" i="228"/>
  <c r="S221" i="228" s="1"/>
  <c r="U221" i="228" s="1"/>
  <c r="P221" i="228"/>
  <c r="W221" i="228" s="1"/>
  <c r="AD220" i="228"/>
  <c r="AE220" i="228" s="1"/>
  <c r="V220" i="228"/>
  <c r="P220" i="228"/>
  <c r="W220" i="228" s="1"/>
  <c r="V219" i="228"/>
  <c r="R219" i="228"/>
  <c r="AD219" i="228" s="1"/>
  <c r="AE219" i="228" s="1"/>
  <c r="P219" i="228"/>
  <c r="W219" i="228" s="1"/>
  <c r="V218" i="228"/>
  <c r="R218" i="228"/>
  <c r="S218" i="228" s="1"/>
  <c r="U218" i="228" s="1"/>
  <c r="P218" i="228"/>
  <c r="W218" i="228" s="1"/>
  <c r="V217" i="228"/>
  <c r="R217" i="228"/>
  <c r="S217" i="228" s="1"/>
  <c r="U217" i="228" s="1"/>
  <c r="P217" i="228"/>
  <c r="W217" i="228" s="1"/>
  <c r="V216" i="228"/>
  <c r="R216" i="228"/>
  <c r="S216" i="228" s="1"/>
  <c r="U216" i="228" s="1"/>
  <c r="P216" i="228"/>
  <c r="V214" i="228"/>
  <c r="R214" i="228"/>
  <c r="AD214" i="228" s="1"/>
  <c r="AE214" i="228" s="1"/>
  <c r="O214" i="228"/>
  <c r="P214" i="228" s="1"/>
  <c r="W214" i="228" s="1"/>
  <c r="V213" i="228"/>
  <c r="R213" i="228"/>
  <c r="AD213" i="228" s="1"/>
  <c r="AE213" i="228" s="1"/>
  <c r="O213" i="228"/>
  <c r="P213" i="228" s="1"/>
  <c r="W213" i="228" s="1"/>
  <c r="V212" i="228"/>
  <c r="U212" i="228"/>
  <c r="R212" i="228"/>
  <c r="AD212" i="228" s="1"/>
  <c r="O212" i="228"/>
  <c r="P212" i="228" s="1"/>
  <c r="W212" i="228" s="1"/>
  <c r="V211" i="228"/>
  <c r="R211" i="228"/>
  <c r="AD211" i="228" s="1"/>
  <c r="AE211" i="228" s="1"/>
  <c r="O211" i="228"/>
  <c r="P211" i="228" s="1"/>
  <c r="W211" i="228" s="1"/>
  <c r="R209" i="228"/>
  <c r="S209" i="228" s="1"/>
  <c r="U209" i="228" s="1"/>
  <c r="P209" i="228"/>
  <c r="R208" i="228"/>
  <c r="AD208" i="228" s="1"/>
  <c r="AE208" i="228" s="1"/>
  <c r="P208" i="228"/>
  <c r="W208" i="228" s="1"/>
  <c r="U207" i="228"/>
  <c r="R207" i="228"/>
  <c r="AD207" i="228" s="1"/>
  <c r="AE207" i="228" s="1"/>
  <c r="P207" i="228"/>
  <c r="W207" i="228" s="1"/>
  <c r="R206" i="228"/>
  <c r="P206" i="228"/>
  <c r="AC205" i="228"/>
  <c r="AB205" i="228"/>
  <c r="AA205" i="228"/>
  <c r="Z205" i="228"/>
  <c r="AC203" i="228"/>
  <c r="AB203" i="228"/>
  <c r="AA203" i="228"/>
  <c r="Z203" i="228"/>
  <c r="Y203" i="228"/>
  <c r="X203" i="228"/>
  <c r="V203" i="228"/>
  <c r="R203" i="228"/>
  <c r="S203" i="228" s="1"/>
  <c r="U203" i="228" s="1"/>
  <c r="O203" i="228"/>
  <c r="P203" i="228" s="1"/>
  <c r="W203" i="228" s="1"/>
  <c r="AB202" i="228"/>
  <c r="V202" i="228"/>
  <c r="R202" i="228"/>
  <c r="AD202" i="228" s="1"/>
  <c r="AE202" i="228" s="1"/>
  <c r="O202" i="228"/>
  <c r="P202" i="228" s="1"/>
  <c r="AC200" i="228"/>
  <c r="AB200" i="228"/>
  <c r="AA200" i="228"/>
  <c r="Z200" i="228"/>
  <c r="Y200" i="228"/>
  <c r="X200" i="228"/>
  <c r="V200" i="228"/>
  <c r="R200" i="228"/>
  <c r="AD200" i="228" s="1"/>
  <c r="AE200" i="228" s="1"/>
  <c r="O200" i="228"/>
  <c r="P200" i="228" s="1"/>
  <c r="W200" i="228" s="1"/>
  <c r="AC199" i="228"/>
  <c r="AB199" i="228"/>
  <c r="AA199" i="228"/>
  <c r="Z199" i="228"/>
  <c r="Y199" i="228"/>
  <c r="X199" i="228"/>
  <c r="V199" i="228"/>
  <c r="R199" i="228"/>
  <c r="AD199" i="228" s="1"/>
  <c r="AE199" i="228" s="1"/>
  <c r="O199" i="228"/>
  <c r="P199" i="228" s="1"/>
  <c r="W199" i="228" s="1"/>
  <c r="AC198" i="228"/>
  <c r="AB198" i="228"/>
  <c r="AA198" i="228"/>
  <c r="Z198" i="228"/>
  <c r="Y198" i="228"/>
  <c r="X198" i="228"/>
  <c r="V198" i="228"/>
  <c r="R198" i="228"/>
  <c r="S198" i="228" s="1"/>
  <c r="U198" i="228" s="1"/>
  <c r="O198" i="228"/>
  <c r="P198" i="228" s="1"/>
  <c r="W198" i="228" s="1"/>
  <c r="AC197" i="228"/>
  <c r="AB197" i="228"/>
  <c r="AA197" i="228"/>
  <c r="Z197" i="228"/>
  <c r="Y197" i="228"/>
  <c r="X197" i="228"/>
  <c r="V197" i="228"/>
  <c r="R197" i="228"/>
  <c r="AD197" i="228" s="1"/>
  <c r="AE197" i="228" s="1"/>
  <c r="O197" i="228"/>
  <c r="P197" i="228" s="1"/>
  <c r="W197" i="228" s="1"/>
  <c r="AC196" i="228"/>
  <c r="AB196" i="228"/>
  <c r="AA196" i="228"/>
  <c r="Z196" i="228"/>
  <c r="Y196" i="228"/>
  <c r="X196" i="228"/>
  <c r="V196" i="228"/>
  <c r="R196" i="228"/>
  <c r="AD196" i="228" s="1"/>
  <c r="AE196" i="228" s="1"/>
  <c r="O196" i="228"/>
  <c r="P196" i="228" s="1"/>
  <c r="W196" i="228" s="1"/>
  <c r="AC195" i="228"/>
  <c r="AB195" i="228"/>
  <c r="AA195" i="228"/>
  <c r="Z195" i="228"/>
  <c r="Y195" i="228"/>
  <c r="X195" i="228"/>
  <c r="V195" i="228"/>
  <c r="R195" i="228"/>
  <c r="S195" i="228" s="1"/>
  <c r="U195" i="228" s="1"/>
  <c r="O195" i="228"/>
  <c r="P195" i="228" s="1"/>
  <c r="W195" i="228" s="1"/>
  <c r="AC194" i="228"/>
  <c r="AB194" i="228"/>
  <c r="AA194" i="228"/>
  <c r="Z194" i="228"/>
  <c r="Y194" i="228"/>
  <c r="X194" i="228"/>
  <c r="V194" i="228"/>
  <c r="R194" i="228"/>
  <c r="AD194" i="228" s="1"/>
  <c r="AE194" i="228" s="1"/>
  <c r="O194" i="228"/>
  <c r="P194" i="228" s="1"/>
  <c r="W194" i="228" s="1"/>
  <c r="AC193" i="228"/>
  <c r="AB193" i="228"/>
  <c r="AA193" i="228"/>
  <c r="Z193" i="228"/>
  <c r="Y193" i="228"/>
  <c r="X193" i="228"/>
  <c r="V193" i="228"/>
  <c r="R193" i="228"/>
  <c r="AD193" i="228" s="1"/>
  <c r="AE193" i="228" s="1"/>
  <c r="O193" i="228"/>
  <c r="P193" i="228" s="1"/>
  <c r="W193" i="228" s="1"/>
  <c r="AC192" i="228"/>
  <c r="AB192" i="228"/>
  <c r="AA192" i="228"/>
  <c r="Z192" i="228"/>
  <c r="Y192" i="228"/>
  <c r="X192" i="228"/>
  <c r="V192" i="228"/>
  <c r="R192" i="228"/>
  <c r="S192" i="228" s="1"/>
  <c r="U192" i="228" s="1"/>
  <c r="O192" i="228"/>
  <c r="P192" i="228" s="1"/>
  <c r="W192" i="228" s="1"/>
  <c r="AC191" i="228"/>
  <c r="AB191" i="228"/>
  <c r="AA191" i="228"/>
  <c r="Z191" i="228"/>
  <c r="Y191" i="228"/>
  <c r="X191" i="228"/>
  <c r="V191" i="228"/>
  <c r="R191" i="228"/>
  <c r="AD191" i="228" s="1"/>
  <c r="AE191" i="228" s="1"/>
  <c r="O191" i="228"/>
  <c r="P191" i="228" s="1"/>
  <c r="W191" i="228" s="1"/>
  <c r="AD190" i="228"/>
  <c r="AE190" i="228" s="1"/>
  <c r="AC190" i="228"/>
  <c r="AB190" i="228"/>
  <c r="AA190" i="228"/>
  <c r="Z190" i="228"/>
  <c r="Y190" i="228"/>
  <c r="X190" i="228"/>
  <c r="V190" i="228"/>
  <c r="S190" i="228"/>
  <c r="U190" i="228" s="1"/>
  <c r="O190" i="228"/>
  <c r="P190" i="228" s="1"/>
  <c r="W190" i="228" s="1"/>
  <c r="AC189" i="228"/>
  <c r="AB189" i="228"/>
  <c r="AA189" i="228"/>
  <c r="Z189" i="228"/>
  <c r="Y189" i="228"/>
  <c r="X189" i="228"/>
  <c r="V189" i="228"/>
  <c r="U189" i="228"/>
  <c r="R189" i="228"/>
  <c r="O189" i="228"/>
  <c r="P189" i="228" s="1"/>
  <c r="W189" i="228" s="1"/>
  <c r="AC188" i="228"/>
  <c r="AB188" i="228"/>
  <c r="AA188" i="228"/>
  <c r="Z188" i="228"/>
  <c r="Y188" i="228"/>
  <c r="X188" i="228"/>
  <c r="V188" i="228"/>
  <c r="R188" i="228"/>
  <c r="S188" i="228" s="1"/>
  <c r="U188" i="228" s="1"/>
  <c r="O188" i="228"/>
  <c r="P188" i="228" s="1"/>
  <c r="W188" i="228" s="1"/>
  <c r="AC187" i="228"/>
  <c r="AB187" i="228"/>
  <c r="AA187" i="228"/>
  <c r="Z187" i="228"/>
  <c r="Y187" i="228"/>
  <c r="X187" i="228"/>
  <c r="V187" i="228"/>
  <c r="R187" i="228"/>
  <c r="S187" i="228" s="1"/>
  <c r="U187" i="228" s="1"/>
  <c r="O187" i="228"/>
  <c r="P187" i="228" s="1"/>
  <c r="W187" i="228" s="1"/>
  <c r="AC186" i="228"/>
  <c r="AB186" i="228"/>
  <c r="AA186" i="228"/>
  <c r="Z186" i="228"/>
  <c r="Y186" i="228"/>
  <c r="X186" i="228"/>
  <c r="V186" i="228"/>
  <c r="R186" i="228"/>
  <c r="AD186" i="228" s="1"/>
  <c r="AE186" i="228" s="1"/>
  <c r="O186" i="228"/>
  <c r="P186" i="228" s="1"/>
  <c r="W186" i="228" s="1"/>
  <c r="V185" i="228"/>
  <c r="R185" i="228"/>
  <c r="S185" i="228" s="1"/>
  <c r="U185" i="228" s="1"/>
  <c r="P185" i="228"/>
  <c r="V184" i="228"/>
  <c r="R184" i="228"/>
  <c r="S184" i="228" s="1"/>
  <c r="U184" i="228" s="1"/>
  <c r="P184" i="228"/>
  <c r="W184" i="228" s="1"/>
  <c r="V183" i="228"/>
  <c r="R183" i="228"/>
  <c r="AD183" i="228" s="1"/>
  <c r="AE183" i="228" s="1"/>
  <c r="P183" i="228"/>
  <c r="W183" i="228" s="1"/>
  <c r="V182" i="228"/>
  <c r="R182" i="228"/>
  <c r="S182" i="228" s="1"/>
  <c r="U182" i="228" s="1"/>
  <c r="O182" i="228"/>
  <c r="P182" i="228" s="1"/>
  <c r="W182" i="228" s="1"/>
  <c r="AC179" i="228"/>
  <c r="AB179" i="228"/>
  <c r="AA179" i="228"/>
  <c r="Z179" i="228"/>
  <c r="Y179" i="228"/>
  <c r="X179" i="228"/>
  <c r="V179" i="228"/>
  <c r="R179" i="228"/>
  <c r="AD179" i="228" s="1"/>
  <c r="AE179" i="228" s="1"/>
  <c r="P179" i="228"/>
  <c r="W179" i="228" s="1"/>
  <c r="O179" i="228"/>
  <c r="AC178" i="228"/>
  <c r="AB178" i="228"/>
  <c r="AA178" i="228"/>
  <c r="Z178" i="228"/>
  <c r="Y178" i="228"/>
  <c r="X178" i="228"/>
  <c r="V178" i="228"/>
  <c r="R178" i="228"/>
  <c r="AD178" i="228" s="1"/>
  <c r="AE178" i="228" s="1"/>
  <c r="P178" i="228"/>
  <c r="W178" i="228" s="1"/>
  <c r="O178" i="228"/>
  <c r="V177" i="228"/>
  <c r="R177" i="228"/>
  <c r="S177" i="228" s="1"/>
  <c r="U177" i="228" s="1"/>
  <c r="P177" i="228"/>
  <c r="W177" i="228" s="1"/>
  <c r="O177" i="228"/>
  <c r="V176" i="228"/>
  <c r="R176" i="228"/>
  <c r="AD176" i="228" s="1"/>
  <c r="AE176" i="228" s="1"/>
  <c r="P176" i="228"/>
  <c r="W176" i="228" s="1"/>
  <c r="O176" i="228"/>
  <c r="V175" i="228"/>
  <c r="R175" i="228"/>
  <c r="AD175" i="228" s="1"/>
  <c r="AE175" i="228" s="1"/>
  <c r="P175" i="228"/>
  <c r="W175" i="228" s="1"/>
  <c r="O175" i="228"/>
  <c r="AC174" i="228"/>
  <c r="AB174" i="228"/>
  <c r="AA174" i="228"/>
  <c r="Z174" i="228"/>
  <c r="Y174" i="228"/>
  <c r="X174" i="228"/>
  <c r="V174" i="228"/>
  <c r="R174" i="228"/>
  <c r="S174" i="228" s="1"/>
  <c r="U174" i="228" s="1"/>
  <c r="P174" i="228"/>
  <c r="W174" i="228" s="1"/>
  <c r="O174" i="228"/>
  <c r="AC173" i="228"/>
  <c r="AB173" i="228"/>
  <c r="AA173" i="228"/>
  <c r="Z173" i="228"/>
  <c r="Y173" i="228"/>
  <c r="X173" i="228"/>
  <c r="V173" i="228"/>
  <c r="R173" i="228"/>
  <c r="AD173" i="228" s="1"/>
  <c r="AE173" i="228" s="1"/>
  <c r="P173" i="228"/>
  <c r="W173" i="228" s="1"/>
  <c r="O173" i="228"/>
  <c r="AC172" i="228"/>
  <c r="AB172" i="228"/>
  <c r="AA172" i="228"/>
  <c r="Z172" i="228"/>
  <c r="Y172" i="228"/>
  <c r="X172" i="228"/>
  <c r="V172" i="228"/>
  <c r="R172" i="228"/>
  <c r="S172" i="228" s="1"/>
  <c r="U172" i="228" s="1"/>
  <c r="P172" i="228"/>
  <c r="W172" i="228" s="1"/>
  <c r="O172" i="228"/>
  <c r="AC171" i="228"/>
  <c r="AB171" i="228"/>
  <c r="AA171" i="228"/>
  <c r="Z171" i="228"/>
  <c r="Y171" i="228"/>
  <c r="X171" i="228"/>
  <c r="V171" i="228"/>
  <c r="R171" i="228"/>
  <c r="S171" i="228" s="1"/>
  <c r="U171" i="228" s="1"/>
  <c r="P171" i="228"/>
  <c r="W171" i="228" s="1"/>
  <c r="O171" i="228"/>
  <c r="V169" i="228"/>
  <c r="R169" i="228"/>
  <c r="S169" i="228" s="1"/>
  <c r="U169" i="228" s="1"/>
  <c r="P169" i="228"/>
  <c r="W169" i="228" s="1"/>
  <c r="O169" i="228"/>
  <c r="V168" i="228"/>
  <c r="R168" i="228"/>
  <c r="AD168" i="228" s="1"/>
  <c r="AE168" i="228" s="1"/>
  <c r="P168" i="228"/>
  <c r="W168" i="228" s="1"/>
  <c r="O168" i="228"/>
  <c r="AC167" i="228"/>
  <c r="AB167" i="228"/>
  <c r="AA167" i="228"/>
  <c r="Z167" i="228"/>
  <c r="X167" i="228"/>
  <c r="W167" i="228"/>
  <c r="V167" i="228"/>
  <c r="Y167" i="228" s="1"/>
  <c r="U167" i="228"/>
  <c r="P167" i="228"/>
  <c r="AC161" i="228"/>
  <c r="AB161" i="228"/>
  <c r="AA161" i="228"/>
  <c r="Z161" i="228"/>
  <c r="Y161" i="228"/>
  <c r="X161" i="228"/>
  <c r="V161" i="228"/>
  <c r="R161" i="228"/>
  <c r="S161" i="228" s="1"/>
  <c r="U161" i="228" s="1"/>
  <c r="P161" i="228"/>
  <c r="W161" i="228" s="1"/>
  <c r="C161" i="228"/>
  <c r="V159" i="228"/>
  <c r="R159" i="228"/>
  <c r="AD159" i="228" s="1"/>
  <c r="P159" i="228"/>
  <c r="V158" i="228"/>
  <c r="R158" i="228"/>
  <c r="S158" i="228" s="1"/>
  <c r="U158" i="228" s="1"/>
  <c r="P158" i="228"/>
  <c r="U156" i="228"/>
  <c r="R156" i="228"/>
  <c r="AD156" i="228" s="1"/>
  <c r="P156" i="228"/>
  <c r="W156" i="228" s="1"/>
  <c r="U155" i="228"/>
  <c r="R155" i="228"/>
  <c r="AD155" i="228" s="1"/>
  <c r="P155" i="228"/>
  <c r="W155" i="228" s="1"/>
  <c r="R154" i="228"/>
  <c r="AD154" i="228" s="1"/>
  <c r="P154" i="228"/>
  <c r="W154" i="228" s="1"/>
  <c r="R153" i="228"/>
  <c r="AD153" i="228" s="1"/>
  <c r="P153" i="228"/>
  <c r="W153" i="228" s="1"/>
  <c r="R152" i="228"/>
  <c r="AD152" i="228" s="1"/>
  <c r="P152" i="228"/>
  <c r="W152" i="228" s="1"/>
  <c r="R151" i="228"/>
  <c r="S151" i="228" s="1"/>
  <c r="U151" i="228" s="1"/>
  <c r="P151" i="228"/>
  <c r="W151" i="228" s="1"/>
  <c r="R150" i="228"/>
  <c r="S150" i="228" s="1"/>
  <c r="U150" i="228" s="1"/>
  <c r="P150" i="228"/>
  <c r="W150" i="228" s="1"/>
  <c r="R149" i="228"/>
  <c r="S149" i="228" s="1"/>
  <c r="U149" i="228" s="1"/>
  <c r="P149" i="228"/>
  <c r="W149" i="228" s="1"/>
  <c r="R148" i="228"/>
  <c r="AD148" i="228" s="1"/>
  <c r="P148" i="228"/>
  <c r="W148" i="228" s="1"/>
  <c r="R147" i="228"/>
  <c r="S147" i="228" s="1"/>
  <c r="U147" i="228" s="1"/>
  <c r="P147" i="228"/>
  <c r="W147" i="228" s="1"/>
  <c r="R145" i="228"/>
  <c r="S145" i="228" s="1"/>
  <c r="U145" i="228" s="1"/>
  <c r="P145" i="228"/>
  <c r="W145" i="228" s="1"/>
  <c r="AC144" i="228"/>
  <c r="AB144" i="228"/>
  <c r="AA144" i="228"/>
  <c r="Z144" i="228"/>
  <c r="Y144" i="228"/>
  <c r="X144" i="228"/>
  <c r="V144" i="228"/>
  <c r="U144" i="228"/>
  <c r="R144" i="228"/>
  <c r="P144" i="228"/>
  <c r="AD142" i="228"/>
  <c r="V142" i="228"/>
  <c r="U142" i="228"/>
  <c r="P142" i="228"/>
  <c r="W142" i="228" s="1"/>
  <c r="AD141" i="228"/>
  <c r="V141" i="228"/>
  <c r="U141" i="228"/>
  <c r="P141" i="228"/>
  <c r="W141" i="228" s="1"/>
  <c r="AD140" i="228"/>
  <c r="V140" i="228"/>
  <c r="U140" i="228"/>
  <c r="P140" i="228"/>
  <c r="W140" i="228" s="1"/>
  <c r="AD139" i="228"/>
  <c r="U139" i="228"/>
  <c r="P139" i="228"/>
  <c r="W139" i="228" s="1"/>
  <c r="AD138" i="228"/>
  <c r="V138" i="228"/>
  <c r="U138" i="228"/>
  <c r="P138" i="228"/>
  <c r="W138" i="228" s="1"/>
  <c r="AD137" i="228"/>
  <c r="V137" i="228"/>
  <c r="U137" i="228"/>
  <c r="P137" i="228"/>
  <c r="AD135" i="228"/>
  <c r="U135" i="228"/>
  <c r="P135" i="228"/>
  <c r="W135" i="228" s="1"/>
  <c r="AD134" i="228"/>
  <c r="U134" i="228"/>
  <c r="P134" i="228"/>
  <c r="AD133" i="228"/>
  <c r="U133" i="228"/>
  <c r="P133" i="228"/>
  <c r="W133" i="228" s="1"/>
  <c r="AD132" i="228"/>
  <c r="U132" i="228"/>
  <c r="P132" i="228"/>
  <c r="W132" i="228" s="1"/>
  <c r="AD131" i="228"/>
  <c r="U131" i="228"/>
  <c r="P131" i="228"/>
  <c r="W131" i="228" s="1"/>
  <c r="AD130" i="228"/>
  <c r="U130" i="228"/>
  <c r="P130" i="228"/>
  <c r="W130" i="228" s="1"/>
  <c r="AD129" i="228"/>
  <c r="U129" i="228"/>
  <c r="P129" i="228"/>
  <c r="AD128" i="228"/>
  <c r="AC128" i="228"/>
  <c r="AB128" i="228"/>
  <c r="AA128" i="228"/>
  <c r="Z128" i="228"/>
  <c r="Y128" i="228"/>
  <c r="X128" i="228"/>
  <c r="U128" i="228"/>
  <c r="P128" i="228"/>
  <c r="W128" i="228" s="1"/>
  <c r="AD127" i="228"/>
  <c r="U127" i="228"/>
  <c r="P127" i="228"/>
  <c r="W127" i="228" s="1"/>
  <c r="AD126" i="228"/>
  <c r="U126" i="228"/>
  <c r="P126" i="228"/>
  <c r="W126" i="228" s="1"/>
  <c r="AD125" i="228"/>
  <c r="U125" i="228"/>
  <c r="P125" i="228"/>
  <c r="W125" i="228" s="1"/>
  <c r="AD124" i="228"/>
  <c r="U124" i="228"/>
  <c r="P124" i="228"/>
  <c r="AD123" i="228"/>
  <c r="AC123" i="228"/>
  <c r="AB123" i="228"/>
  <c r="AA123" i="228"/>
  <c r="Z123" i="228"/>
  <c r="Y123" i="228"/>
  <c r="X123" i="228"/>
  <c r="V123" i="228"/>
  <c r="U123" i="228"/>
  <c r="P123" i="228"/>
  <c r="W123" i="228" s="1"/>
  <c r="AC122" i="228"/>
  <c r="AB122" i="228"/>
  <c r="AA122" i="228"/>
  <c r="Z122" i="228"/>
  <c r="X122" i="228"/>
  <c r="AD121" i="228"/>
  <c r="AC121" i="228"/>
  <c r="AB121" i="228"/>
  <c r="AA121" i="228"/>
  <c r="Z121" i="228"/>
  <c r="Y121" i="228"/>
  <c r="X121" i="228"/>
  <c r="V121" i="228"/>
  <c r="U121" i="228"/>
  <c r="P121" i="228"/>
  <c r="W121" i="228" s="1"/>
  <c r="AD120" i="228"/>
  <c r="AC120" i="228"/>
  <c r="AB120" i="228"/>
  <c r="AA120" i="228"/>
  <c r="Z120" i="228"/>
  <c r="Y120" i="228"/>
  <c r="X120" i="228"/>
  <c r="V120" i="228"/>
  <c r="U120" i="228"/>
  <c r="P120" i="228"/>
  <c r="W120" i="228" s="1"/>
  <c r="AD119" i="228"/>
  <c r="AC119" i="228"/>
  <c r="AB119" i="228"/>
  <c r="AA119" i="228"/>
  <c r="Z119" i="228"/>
  <c r="Y119" i="228"/>
  <c r="X119" i="228"/>
  <c r="V119" i="228"/>
  <c r="U119" i="228"/>
  <c r="P119" i="228"/>
  <c r="W119" i="228" s="1"/>
  <c r="AD118" i="228"/>
  <c r="AC118" i="228"/>
  <c r="AB118" i="228"/>
  <c r="AA118" i="228"/>
  <c r="Z118" i="228"/>
  <c r="Y118" i="228"/>
  <c r="X118" i="228"/>
  <c r="V118" i="228"/>
  <c r="U118" i="228"/>
  <c r="P118" i="228"/>
  <c r="W118" i="228" s="1"/>
  <c r="AD117" i="228"/>
  <c r="AC117" i="228"/>
  <c r="AB117" i="228"/>
  <c r="AA117" i="228"/>
  <c r="Z117" i="228"/>
  <c r="Y117" i="228"/>
  <c r="X117" i="228"/>
  <c r="V117" i="228"/>
  <c r="U117" i="228"/>
  <c r="P117" i="228"/>
  <c r="W117" i="228" s="1"/>
  <c r="AD116" i="228"/>
  <c r="AC116" i="228"/>
  <c r="AB116" i="228"/>
  <c r="AA116" i="228"/>
  <c r="Z116" i="228"/>
  <c r="Y116" i="228"/>
  <c r="X116" i="228"/>
  <c r="V116" i="228"/>
  <c r="U116" i="228"/>
  <c r="P116" i="228"/>
  <c r="W116" i="228" s="1"/>
  <c r="AD115" i="228"/>
  <c r="AC115" i="228"/>
  <c r="AB115" i="228"/>
  <c r="AA115" i="228"/>
  <c r="Z115" i="228"/>
  <c r="Y115" i="228"/>
  <c r="X115" i="228"/>
  <c r="V115" i="228"/>
  <c r="U115" i="228"/>
  <c r="P115" i="228"/>
  <c r="W115" i="228" s="1"/>
  <c r="AD114" i="228"/>
  <c r="V114" i="228"/>
  <c r="U114" i="228"/>
  <c r="P114" i="228"/>
  <c r="W114" i="228" s="1"/>
  <c r="AD113" i="228"/>
  <c r="AC113" i="228"/>
  <c r="AB113" i="228"/>
  <c r="AA113" i="228"/>
  <c r="Z113" i="228"/>
  <c r="Y113" i="228"/>
  <c r="X113" i="228"/>
  <c r="V113" i="228"/>
  <c r="U113" i="228"/>
  <c r="P113" i="228"/>
  <c r="W113" i="228" s="1"/>
  <c r="AD112" i="228"/>
  <c r="AB112" i="228"/>
  <c r="V112" i="228"/>
  <c r="U112" i="228"/>
  <c r="P112" i="228"/>
  <c r="W112" i="228" s="1"/>
  <c r="AD111" i="228"/>
  <c r="AC111" i="228"/>
  <c r="AB111" i="228"/>
  <c r="AA111" i="228"/>
  <c r="Z111" i="228"/>
  <c r="Y111" i="228"/>
  <c r="X111" i="228"/>
  <c r="V111" i="228"/>
  <c r="U111" i="228"/>
  <c r="P111" i="228"/>
  <c r="W111" i="228" s="1"/>
  <c r="AD110" i="228"/>
  <c r="AC110" i="228"/>
  <c r="AB110" i="228"/>
  <c r="AA110" i="228"/>
  <c r="Z110" i="228"/>
  <c r="Y110" i="228"/>
  <c r="X110" i="228"/>
  <c r="V110" i="228"/>
  <c r="U110" i="228"/>
  <c r="P110" i="228"/>
  <c r="W110" i="228" s="1"/>
  <c r="AD109" i="228"/>
  <c r="AC109" i="228"/>
  <c r="AB109" i="228"/>
  <c r="AA109" i="228"/>
  <c r="Z109" i="228"/>
  <c r="Y109" i="228"/>
  <c r="X109" i="228"/>
  <c r="V109" i="228"/>
  <c r="U109" i="228"/>
  <c r="P109" i="228"/>
  <c r="W109" i="228" s="1"/>
  <c r="AD108" i="228"/>
  <c r="V108" i="228"/>
  <c r="U108" i="228"/>
  <c r="P108" i="228"/>
  <c r="W108" i="228" s="1"/>
  <c r="AD107" i="228"/>
  <c r="V107" i="228"/>
  <c r="U107" i="228"/>
  <c r="P107" i="228"/>
  <c r="W107" i="228" s="1"/>
  <c r="AD106" i="228"/>
  <c r="V106" i="228"/>
  <c r="U106" i="228"/>
  <c r="P106" i="228"/>
  <c r="W106" i="228" s="1"/>
  <c r="AD105" i="228"/>
  <c r="V105" i="228"/>
  <c r="U105" i="228"/>
  <c r="P105" i="228"/>
  <c r="AD102" i="228"/>
  <c r="AC102" i="228"/>
  <c r="AB102" i="228"/>
  <c r="AA102" i="228"/>
  <c r="Z102" i="228"/>
  <c r="Y102" i="228"/>
  <c r="X102" i="228"/>
  <c r="W102" i="228"/>
  <c r="V102" i="228"/>
  <c r="U102" i="228"/>
  <c r="AD101" i="228"/>
  <c r="AC101" i="228"/>
  <c r="AB101" i="228"/>
  <c r="AA101" i="228"/>
  <c r="Z101" i="228"/>
  <c r="Y101" i="228"/>
  <c r="X101" i="228"/>
  <c r="W101" i="228"/>
  <c r="V101" i="228"/>
  <c r="U101" i="228"/>
  <c r="AD100" i="228"/>
  <c r="AC100" i="228"/>
  <c r="AB100" i="228"/>
  <c r="AA100" i="228"/>
  <c r="Z100" i="228"/>
  <c r="Y100" i="228"/>
  <c r="X100" i="228"/>
  <c r="W100" i="228"/>
  <c r="V100" i="228"/>
  <c r="U100" i="228"/>
  <c r="AD99" i="228"/>
  <c r="AC99" i="228"/>
  <c r="AB99" i="228"/>
  <c r="AA99" i="228"/>
  <c r="Z99" i="228"/>
  <c r="Y99" i="228"/>
  <c r="X99" i="228"/>
  <c r="W99" i="228"/>
  <c r="V99" i="228"/>
  <c r="U99" i="228"/>
  <c r="AD98" i="228"/>
  <c r="AC98" i="228"/>
  <c r="AB98" i="228"/>
  <c r="AA98" i="228"/>
  <c r="Z98" i="228"/>
  <c r="Y98" i="228"/>
  <c r="X98" i="228"/>
  <c r="W98" i="228"/>
  <c r="V98" i="228"/>
  <c r="U98" i="228"/>
  <c r="AD97" i="228"/>
  <c r="W97" i="228"/>
  <c r="V97" i="228"/>
  <c r="U97" i="228"/>
  <c r="AD96" i="228"/>
  <c r="W96" i="228"/>
  <c r="V96" i="228"/>
  <c r="U96" i="228"/>
  <c r="AD95" i="228"/>
  <c r="W95" i="228"/>
  <c r="V95" i="228"/>
  <c r="U95" i="228"/>
  <c r="AD94" i="228"/>
  <c r="AC94" i="228"/>
  <c r="AB94" i="228"/>
  <c r="AA94" i="228"/>
  <c r="Z94" i="228"/>
  <c r="Y94" i="228"/>
  <c r="X94" i="228"/>
  <c r="W94" i="228"/>
  <c r="V94" i="228"/>
  <c r="U94" i="228"/>
  <c r="AD93" i="228"/>
  <c r="AC93" i="228"/>
  <c r="AB93" i="228"/>
  <c r="AA93" i="228"/>
  <c r="Z93" i="228"/>
  <c r="Y93" i="228"/>
  <c r="X93" i="228"/>
  <c r="W93" i="228"/>
  <c r="V93" i="228"/>
  <c r="U93" i="228"/>
  <c r="AD92" i="228"/>
  <c r="AC92" i="228"/>
  <c r="AB92" i="228"/>
  <c r="AA92" i="228"/>
  <c r="Z92" i="228"/>
  <c r="Y92" i="228"/>
  <c r="X92" i="228"/>
  <c r="V92" i="228"/>
  <c r="U92" i="228"/>
  <c r="P92" i="228"/>
  <c r="W92" i="228" s="1"/>
  <c r="AD91" i="228"/>
  <c r="AC91" i="228"/>
  <c r="AB91" i="228"/>
  <c r="AA91" i="228"/>
  <c r="Z91" i="228"/>
  <c r="Y91" i="228"/>
  <c r="X91" i="228"/>
  <c r="V91" i="228"/>
  <c r="U91" i="228"/>
  <c r="P91" i="228"/>
  <c r="AD89" i="228"/>
  <c r="V89" i="228"/>
  <c r="U89" i="228"/>
  <c r="P89" i="228"/>
  <c r="AD88" i="228"/>
  <c r="V88" i="228"/>
  <c r="U88" i="228"/>
  <c r="P88" i="228"/>
  <c r="W88" i="228" s="1"/>
  <c r="P86" i="228"/>
  <c r="D86" i="228"/>
  <c r="C86" i="228"/>
  <c r="AC85" i="228"/>
  <c r="AB85" i="228"/>
  <c r="AA85" i="228"/>
  <c r="Z85" i="228"/>
  <c r="X85" i="228"/>
  <c r="W85" i="228"/>
  <c r="V85" i="228"/>
  <c r="Y85" i="228" s="1"/>
  <c r="U85" i="228"/>
  <c r="P85" i="228"/>
  <c r="O85" i="228"/>
  <c r="AD81" i="228"/>
  <c r="AD80" i="228"/>
  <c r="AD78" i="228"/>
  <c r="AD77" i="228"/>
  <c r="AD76" i="228"/>
  <c r="AD75" i="228"/>
  <c r="AD73" i="228"/>
  <c r="AD71" i="228"/>
  <c r="AD70" i="228"/>
  <c r="AD68" i="228"/>
  <c r="AD66" i="228"/>
  <c r="AD65" i="228"/>
  <c r="AD64" i="228"/>
  <c r="AD63" i="228"/>
  <c r="AD62" i="228"/>
  <c r="AD59" i="228"/>
  <c r="AD58" i="228"/>
  <c r="AD56" i="228"/>
  <c r="AD54" i="228"/>
  <c r="AD53" i="228"/>
  <c r="AD52" i="228"/>
  <c r="AD51" i="228"/>
  <c r="AD50" i="228"/>
  <c r="AD49" i="228"/>
  <c r="AD48" i="228"/>
  <c r="AD47" i="228"/>
  <c r="AD46" i="228"/>
  <c r="AD45" i="228"/>
  <c r="AD44" i="228"/>
  <c r="AD43" i="228"/>
  <c r="AD42" i="228"/>
  <c r="AD41" i="228"/>
  <c r="AD40" i="228"/>
  <c r="AD39" i="228"/>
  <c r="AD38" i="228"/>
  <c r="AD35" i="228"/>
  <c r="AD34" i="228"/>
  <c r="AD33" i="228"/>
  <c r="AD32" i="228"/>
  <c r="AD31" i="228"/>
  <c r="AD30" i="228"/>
  <c r="AD29" i="228"/>
  <c r="AD28" i="228"/>
  <c r="AD27" i="228"/>
  <c r="AD26" i="228"/>
  <c r="AD25" i="228"/>
  <c r="AD24" i="228"/>
  <c r="AD23" i="228"/>
  <c r="AD22" i="228"/>
  <c r="AD21" i="228"/>
  <c r="AD18" i="228"/>
  <c r="AD17" i="228"/>
  <c r="AD16" i="228"/>
  <c r="AD15" i="228"/>
  <c r="AD14" i="228"/>
  <c r="AD13" i="228"/>
  <c r="AD12" i="228"/>
  <c r="AD11" i="228"/>
  <c r="AC9" i="228"/>
  <c r="AB9" i="228"/>
  <c r="AA9" i="228"/>
  <c r="Z9" i="228"/>
  <c r="X9" i="228"/>
  <c r="W9" i="228"/>
  <c r="V9" i="228"/>
  <c r="Y9" i="228" s="1"/>
  <c r="U9" i="228"/>
  <c r="C144" i="228" l="1"/>
  <c r="C216" i="228"/>
  <c r="AD206" i="228"/>
  <c r="AE206" i="228" s="1"/>
  <c r="AD144" i="228"/>
  <c r="W159" i="228"/>
  <c r="S159" i="228"/>
  <c r="U159" i="228" s="1"/>
  <c r="W89" i="228"/>
  <c r="W206" i="228"/>
  <c r="AD189" i="228"/>
  <c r="AE189" i="228" s="1"/>
  <c r="AD185" i="228"/>
  <c r="AE185" i="228" s="1"/>
  <c r="W134" i="228"/>
  <c r="S206" i="228"/>
  <c r="U206" i="228" s="1"/>
  <c r="W185" i="228"/>
  <c r="C88" i="228"/>
  <c r="C158" i="228"/>
  <c r="C91" i="228"/>
  <c r="S200" i="228"/>
  <c r="U200" i="228" s="1"/>
  <c r="AD145" i="228"/>
  <c r="S199" i="228"/>
  <c r="U199" i="228" s="1"/>
  <c r="AD221" i="228"/>
  <c r="AE221" i="228" s="1"/>
  <c r="S208" i="228"/>
  <c r="U208" i="228" s="1"/>
  <c r="AD151" i="228"/>
  <c r="AD217" i="228"/>
  <c r="AE217" i="228" s="1"/>
  <c r="C202" i="228"/>
  <c r="W202" i="228"/>
  <c r="S176" i="228"/>
  <c r="U176" i="228" s="1"/>
  <c r="AD209" i="228"/>
  <c r="AE209" i="228" s="1"/>
  <c r="S191" i="228"/>
  <c r="U191" i="228" s="1"/>
  <c r="S194" i="228"/>
  <c r="U194" i="228" s="1"/>
  <c r="C168" i="228"/>
  <c r="S154" i="228"/>
  <c r="U154" i="228" s="1"/>
  <c r="S178" i="228"/>
  <c r="U178" i="228" s="1"/>
  <c r="S186" i="228"/>
  <c r="U186" i="228" s="1"/>
  <c r="W91" i="228"/>
  <c r="S152" i="228"/>
  <c r="U152" i="228" s="1"/>
  <c r="S168" i="228"/>
  <c r="U168" i="228" s="1"/>
  <c r="S211" i="228"/>
  <c r="U211" i="228" s="1"/>
  <c r="C137" i="228"/>
  <c r="S173" i="228"/>
  <c r="U173" i="228" s="1"/>
  <c r="S179" i="228"/>
  <c r="U179" i="228" s="1"/>
  <c r="AD147" i="228"/>
  <c r="AD150" i="228"/>
  <c r="W158" i="228"/>
  <c r="S213" i="228"/>
  <c r="U213" i="228" s="1"/>
  <c r="AD223" i="228"/>
  <c r="AE223" i="228" s="1"/>
  <c r="AD182" i="228"/>
  <c r="AE182" i="228" s="1"/>
  <c r="AD218" i="228"/>
  <c r="AE218" i="228" s="1"/>
  <c r="S214" i="228"/>
  <c r="U214" i="228" s="1"/>
  <c r="S196" i="228"/>
  <c r="U196" i="228" s="1"/>
  <c r="S197" i="228"/>
  <c r="U197" i="228" s="1"/>
  <c r="S193" i="228"/>
  <c r="U193" i="228" s="1"/>
  <c r="C123" i="228"/>
  <c r="AD158" i="228"/>
  <c r="C105" i="228"/>
  <c r="S148" i="228"/>
  <c r="U148" i="228" s="1"/>
  <c r="C206" i="228"/>
  <c r="C211" i="228"/>
  <c r="C182" i="228"/>
  <c r="W129" i="228"/>
  <c r="W105" i="228"/>
  <c r="W137" i="228"/>
  <c r="AD172" i="228"/>
  <c r="AE172" i="228" s="1"/>
  <c r="AD188" i="228"/>
  <c r="AE188" i="228" s="1"/>
  <c r="W144" i="228"/>
  <c r="AD149" i="228"/>
  <c r="S153" i="228"/>
  <c r="U153" i="228" s="1"/>
  <c r="S175" i="228"/>
  <c r="U175" i="228" s="1"/>
  <c r="S183" i="228"/>
  <c r="U183" i="228" s="1"/>
  <c r="W209" i="228"/>
  <c r="S219" i="228"/>
  <c r="U219" i="228" s="1"/>
  <c r="AD177" i="228"/>
  <c r="AE177" i="228" s="1"/>
  <c r="AD192" i="228"/>
  <c r="AE192" i="228" s="1"/>
  <c r="AD195" i="228"/>
  <c r="AE195" i="228" s="1"/>
  <c r="AD198" i="228"/>
  <c r="AE198" i="228" s="1"/>
  <c r="AD203" i="228"/>
  <c r="AE203" i="228" s="1"/>
  <c r="W216" i="228"/>
  <c r="AD169" i="228"/>
  <c r="AE169" i="228" s="1"/>
  <c r="AD184" i="228"/>
  <c r="AE184" i="228" s="1"/>
  <c r="AD216" i="228"/>
  <c r="AE216" i="228" s="1"/>
  <c r="AD171" i="228"/>
  <c r="AE171" i="228" s="1"/>
  <c r="C147" i="228"/>
  <c r="S202" i="228"/>
  <c r="U202" i="228" s="1"/>
  <c r="C171" i="228"/>
  <c r="AD174" i="228"/>
  <c r="AE174" i="228" s="1"/>
  <c r="AD161" i="228"/>
  <c r="AD187" i="228"/>
  <c r="AE187" i="228" s="1"/>
  <c r="C224" i="228" l="1"/>
  <c r="C164" i="2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tc={04253E46-9A79-4F1B-A47C-41F5E335C56C}</author>
    <author>tc={01624552-00C2-4EB7-93EB-16F655822D5E}</author>
    <author>FARID BAGAS</author>
  </authors>
  <commentList>
    <comment ref="P145" authorId="0" shapeId="0" xr:uid="{04253E46-9A79-4F1B-A47C-41F5E335C56C}">
      <text>
        <t>[Threaded comment]
Your version of Excel allows you to read this threaded comment; however, any edits to it will get removed if the file is opened in a newer version of Excel. Learn more: https://go.microsoft.com/fwlink/?linkid=870924
Comment:
    TBC Price</t>
      </text>
    </comment>
    <comment ref="P147" authorId="1" shapeId="0" xr:uid="{01624552-00C2-4EB7-93EB-16F655822D5E}">
      <text>
        <t>[Threaded comment]
Your version of Excel allows you to read this threaded comment; however, any edits to it will get removed if the file is opened in a newer version of Excel. Learn more: https://go.microsoft.com/fwlink/?linkid=870924
Comment:
    TBC Price</t>
      </text>
    </comment>
    <comment ref="F184" authorId="2" shapeId="0" xr:uid="{3DA6A2C7-800B-4205-9A03-8939A88D4CDF}">
      <text>
        <r>
          <rPr>
            <b/>
            <sz val="9"/>
            <color indexed="81"/>
            <rFont val="Tahoma"/>
            <family val="2"/>
          </rPr>
          <t>FARID BAGAS:</t>
        </r>
        <r>
          <rPr>
            <sz val="9"/>
            <color indexed="81"/>
            <rFont val="Tahoma"/>
            <family val="2"/>
          </rPr>
          <t xml:space="preserve">
Cam 23 &amp; 31 sudah di replace di April</t>
        </r>
      </text>
    </comment>
    <comment ref="F191" authorId="2" shapeId="0" xr:uid="{D1F0231B-5344-4E5C-91DE-96AD6E1B4879}">
      <text>
        <r>
          <rPr>
            <b/>
            <sz val="9"/>
            <color indexed="81"/>
            <rFont val="Tahoma"/>
            <family val="2"/>
          </rPr>
          <t>cam 31 sudah replace</t>
        </r>
      </text>
    </comment>
    <comment ref="F193" authorId="2" shapeId="0" xr:uid="{2029293C-16D1-4C7E-8557-9C70E980BB63}">
      <text>
        <r>
          <rPr>
            <b/>
            <sz val="9"/>
            <color indexed="81"/>
            <rFont val="Tahoma"/>
            <family val="2"/>
          </rPr>
          <t xml:space="preserve">cam 35 sudah replace </t>
        </r>
      </text>
    </comment>
  </commentList>
</comments>
</file>

<file path=xl/sharedStrings.xml><?xml version="1.0" encoding="utf-8"?>
<sst xmlns="http://schemas.openxmlformats.org/spreadsheetml/2006/main" count="1735" uniqueCount="332">
  <si>
    <t>0:汎用
0:2W&amp;4W</t>
  </si>
  <si>
    <t>支払日①
Pay 1</t>
  </si>
  <si>
    <t>支払日②
Pay 2</t>
  </si>
  <si>
    <t>Rate</t>
  </si>
  <si>
    <t>支払日③
Pay 3</t>
  </si>
  <si>
    <t>0：2W&amp;4W</t>
  </si>
  <si>
    <t>×:No</t>
  </si>
  <si>
    <t>IDR</t>
  </si>
  <si>
    <t>一括(検収時)</t>
  </si>
  <si>
    <t>USD</t>
  </si>
  <si>
    <t>予算№
No.Budget</t>
  </si>
  <si>
    <t>[FY2024]</t>
  </si>
  <si>
    <t/>
  </si>
  <si>
    <t>0:COMMON</t>
  </si>
  <si>
    <t>9.一般管理</t>
  </si>
  <si>
    <t>[FY2026]</t>
  </si>
  <si>
    <t>TOTAL 2024</t>
  </si>
  <si>
    <t>TOTAL</t>
  </si>
  <si>
    <t>2024年度 合計</t>
  </si>
  <si>
    <t>【Regular】</t>
  </si>
  <si>
    <t>24F01</t>
  </si>
  <si>
    <t>Personal Computer (Additional) 2024</t>
  </si>
  <si>
    <t>All in One PC (Logistic) - INPUT DATA RPA - AZIS HERIAWAN</t>
  </si>
  <si>
    <t>GIGIN GUNTUR</t>
  </si>
  <si>
    <t>FOR NEW SPV</t>
  </si>
  <si>
    <t>All in One PC (MKT) - NEW MEMBER  - IMA RISNAWATI</t>
  </si>
  <si>
    <t>IMA RISNAWATI</t>
  </si>
  <si>
    <t>FOR NEW MEMBER</t>
  </si>
  <si>
    <t>All in One PC (QE) - NEW MEMBER - SRI RENGGANIS</t>
  </si>
  <si>
    <t>R JIWANDANA</t>
  </si>
  <si>
    <t>INPUT DATA</t>
  </si>
  <si>
    <t>All in One PC (SPM)  - DAILY USE - DANNY IRIAWAN</t>
  </si>
  <si>
    <t>DANNY IRIAWAN</t>
  </si>
  <si>
    <t>DAILY USE</t>
  </si>
  <si>
    <t>Access Door Suprema for CNC Zona 2 : Mold Making - DICKY ZULFIKAR</t>
  </si>
  <si>
    <t>DICKY ZULFIKAR</t>
  </si>
  <si>
    <t>KEAMANAN DATA</t>
  </si>
  <si>
    <t>PC High Spec (ME) - KOSASIH - KEBUTUHAN SO - KOSASIH</t>
  </si>
  <si>
    <t>KOSASIH</t>
  </si>
  <si>
    <t>MENUNJANG SOFTWARE CATIA NEW</t>
  </si>
  <si>
    <t>PC High Spec (MOLD MAKING) - KEBUTUHAN SO - DICKY ZULFIKAR</t>
  </si>
  <si>
    <t>DESIGN MOLD</t>
  </si>
  <si>
    <t>PC High Spec (MOLD MTC) - KEBUTUHAN SO - DIDI PERIYANTO</t>
  </si>
  <si>
    <t>DIDI PERIYANTO</t>
  </si>
  <si>
    <t>DRAWING SPARE PART MOLD</t>
  </si>
  <si>
    <t>24F02</t>
  </si>
  <si>
    <t>Personal Computer (Depresiation) 2024</t>
  </si>
  <si>
    <t>PC Depresiasi (Laptop): DADANG, M-10 (MR. FUKAWA, INSAN)</t>
  </si>
  <si>
    <t>MISBAHUL MUNIR</t>
  </si>
  <si>
    <t>PC Depresiasi (Workstation): M FAHMY</t>
  </si>
  <si>
    <t>PC Depresiasi (Desktop): PART CENTER, STATION 3</t>
  </si>
  <si>
    <t>PC Depresiasi (Desktop): SEPTA, STATION 2, SAHARANI Z</t>
  </si>
  <si>
    <t>PC Depresiasi (Desktop): WIWIN, TRI, HENDRA</t>
  </si>
  <si>
    <t>PC Depresiasi (Desktop): IRSAN, WAHYU H AJI, KOSASIH</t>
  </si>
  <si>
    <t>PC Depresiasi (Desktop): RAHMAWATI, ANDRI F, AHMAD S</t>
  </si>
  <si>
    <t>PC Depresiasi (Desktop): RPAPURCHASING, GHEA L, SARI M</t>
  </si>
  <si>
    <t>PC Depresiasi (Desktop): ARTANA, NITA K, KLINIK</t>
  </si>
  <si>
    <t>PC Depresiasi (Mini PC): RYAN ANDRIAN, METI, DINA A</t>
  </si>
  <si>
    <t>PC Depresiasi (Laptop): NOOR AKHLIS, LAPTOP ME, SAMSURIZAL</t>
  </si>
  <si>
    <t>PC Depresiasi (Desktop): PC TKA, RIA R, EMIL (VMS)</t>
  </si>
  <si>
    <t>PC Depresiasi (Workstation): ALKINDI, DRAW ENG, CATIA 2</t>
  </si>
  <si>
    <t>Projector Depresiasi : IT</t>
  </si>
  <si>
    <t>ID card scanner for VMS depresiasi</t>
  </si>
  <si>
    <t>24F03</t>
  </si>
  <si>
    <t>Network Device (Depresiation) 2024</t>
  </si>
  <si>
    <t>CCTV Zona 1 &amp; 2 Depresiasi (CAM-01, CAM-02)</t>
  </si>
  <si>
    <t>PARKIR MOBIL1, LOBBY LUAR</t>
  </si>
  <si>
    <t>CCTV Zona 1 &amp; 2 Depresiasi (CAM-52, CAM-06)</t>
  </si>
  <si>
    <t>CLEANING BOX DC2, PARKIR MOBIL3</t>
  </si>
  <si>
    <t>CCTV Zona 1 &amp; 2 Depresiasi (CAM-07, CAM-08)</t>
  </si>
  <si>
    <t>TPS 1, TENT HOUSE 2</t>
  </si>
  <si>
    <t>CCTV Zona 1 &amp; 2 Depresiasi (CAM-10, CAM-11)</t>
  </si>
  <si>
    <t>LORONG PANTRY, OFFICE ADMIN1</t>
  </si>
  <si>
    <t>CCTV Zona 1 &amp; 2 Depresiasi (CAM-12, CAM-13)</t>
  </si>
  <si>
    <t>OFFICE ADMIN2, SERVER ROOM</t>
  </si>
  <si>
    <t>CCTV Zona 1 &amp; 2 Depresiasi (CAM-14, CAM-16)</t>
  </si>
  <si>
    <t>LORONG OFICE1, OFFICE PRODUKSI</t>
  </si>
  <si>
    <t>CCTV Zona 1 &amp; 2 Depresiasi (CAM-17, CAM-19)</t>
  </si>
  <si>
    <t>TEST ROOM, LORONG MEZANIN</t>
  </si>
  <si>
    <t>CCTV Zona 1 &amp; 2 Depresiasi (CAM-20, CAM-21)</t>
  </si>
  <si>
    <t xml:space="preserve">MEZANIN STORE, MEZANIN LIFT </t>
  </si>
  <si>
    <t>CCTV Zona 1 &amp; 2 Depresiasi (CAM-22, CAM-23)</t>
  </si>
  <si>
    <t>INJECTION MULTI COLOR, INJECTION LENS</t>
  </si>
  <si>
    <t>CCTV Zona 1 &amp; 2 Depresiasi (CAM-25, CAM-27)</t>
  </si>
  <si>
    <t>MATRIAL RESIN 1, PAINT STORE</t>
  </si>
  <si>
    <t>CCTV Zona 1 &amp; 2 Depresiasi (CAM-15, CAM-39)</t>
  </si>
  <si>
    <t>FINISH GOOD, PAINT STORE</t>
  </si>
  <si>
    <t>CCTV Zona 1 &amp; 2 Depresiasi (CAM-31, CAM-04)</t>
  </si>
  <si>
    <t xml:space="preserve">INCOM STORE, PARKIR MOBIL2 </t>
  </si>
  <si>
    <t>NEW CCTV DOME REST AREA &amp; CNC</t>
  </si>
  <si>
    <t>NEW PROJECT</t>
  </si>
  <si>
    <t>PROJECT PEREMAJAAN KABEL &amp; SWITCH CCTV Zona 1</t>
  </si>
  <si>
    <t>DEPRESIASI</t>
  </si>
  <si>
    <t>Fluke Tone Tracer : IT</t>
  </si>
  <si>
    <t>SWITCH Depresiasi 48Port: (C1, B1, D1)</t>
  </si>
  <si>
    <t>SWITCH Depresiasi 24Port: (R Server)</t>
  </si>
  <si>
    <t>24F04</t>
  </si>
  <si>
    <t>Server Equipment</t>
  </si>
  <si>
    <t>ADDITIONAL NODE HG - 6401 (Small) DC &amp; DRC</t>
  </si>
  <si>
    <t>24F05</t>
  </si>
  <si>
    <t>Software 2024</t>
  </si>
  <si>
    <t>SIEM (SISTEM INFORMASI EVEN MANAGEMENT)</t>
  </si>
  <si>
    <t>CYBER SECURITY</t>
  </si>
  <si>
    <t>Req AHM</t>
  </si>
  <si>
    <t>SOAR</t>
  </si>
  <si>
    <t>【Production】</t>
  </si>
  <si>
    <t>24F06</t>
  </si>
  <si>
    <t>PC Gathering 2024</t>
  </si>
  <si>
    <t>PC Gathering Additional：Assy 112K SUB LINE</t>
  </si>
  <si>
    <t>RICHAR F</t>
  </si>
  <si>
    <t>KONTROL PRODUKSI</t>
  </si>
  <si>
    <t>PC Gathering Additional：Assy 21ZJ SUB LINE</t>
  </si>
  <si>
    <t>PC Gathering Additional：Assy 21ZC SUB LINE</t>
  </si>
  <si>
    <t>PC Gathering Additional：Injection (22A23)</t>
  </si>
  <si>
    <t>ZAKY A.</t>
  </si>
  <si>
    <t>PC Gathering Additional：Injection (22D4)</t>
  </si>
  <si>
    <t>【Spesial】</t>
  </si>
  <si>
    <t>24F07</t>
  </si>
  <si>
    <t>Portal Digital Information System</t>
  </si>
  <si>
    <t>Digitalisasi Product Launching System (Software)</t>
  </si>
  <si>
    <t>24F08</t>
  </si>
  <si>
    <t>MSDM</t>
  </si>
  <si>
    <t>Sistem Attendance Online</t>
  </si>
  <si>
    <t>24F09</t>
  </si>
  <si>
    <t>Project Topologi Redundance Network</t>
  </si>
  <si>
    <t>Topologi Phase 2</t>
  </si>
  <si>
    <t>FADHI WINIATAMA</t>
  </si>
  <si>
    <t>24F10</t>
  </si>
  <si>
    <t>PROJECT Q-POINT SYSTEM</t>
  </si>
  <si>
    <t>TV Set 40" (Qa) - Display W-Check &amp; Q Point</t>
  </si>
  <si>
    <t>SUKADI</t>
  </si>
  <si>
    <t>SPECS TV MASIH TUNGGU</t>
  </si>
  <si>
    <t>Bracket</t>
  </si>
  <si>
    <t>Barcode Input</t>
  </si>
  <si>
    <t>Software</t>
  </si>
  <si>
    <t>24F11</t>
  </si>
  <si>
    <t>INVOICING SYSTEM</t>
  </si>
  <si>
    <t>System Interface D/O Prones For Invoicing</t>
  </si>
  <si>
    <t>System GR For PO Non Material</t>
  </si>
  <si>
    <t>25F01</t>
  </si>
  <si>
    <t>Personal Computer (New) 2025</t>
  </si>
  <si>
    <t>PC Laptop Struktural Gol IV: Lilik (P&amp;U), Akhlis (PE)</t>
  </si>
  <si>
    <t>PC All in One: Deniza (Inj), Annisa (HRGA)</t>
  </si>
  <si>
    <t>25F02</t>
  </si>
  <si>
    <t>Personal Computer (Depreciation) 2025</t>
  </si>
  <si>
    <t>PC Depresiasi (Laptop) : Dadang (Jisuken1), Dadang (Jisuken2), Ayung Pay Roll (HR&amp;GA)</t>
  </si>
  <si>
    <t>PC Depresiasi (Laptop) : Emil (HSE), Andy (QE), Kristanto (ME)</t>
  </si>
  <si>
    <t>PC Depresiasi (Workstation): Arif R (PE), Dadi (MM), Tri H.(TM)</t>
  </si>
  <si>
    <t>PC Depresiasi (Desktop): VMS2 (HSE) Monitor Posko 1 (HSE), VMS1 (HSE)</t>
  </si>
  <si>
    <t>PC Depresiasi (AIO): Dani (P&amp;U), CCTV Log View (Log), Sri.w (FA)</t>
  </si>
  <si>
    <t>PC Depresiasi (AIO): Devara (FA), M. Dadan(Assy Eng), Sani (MC Mtc)</t>
  </si>
  <si>
    <t>PC Depresiasi (AIO): Weka (MC Mtc), A.Kamaludin (HR&amp;GA), Karta (HSE)</t>
  </si>
  <si>
    <t>PC Depresiasi (AIO): Heryansyah (HSE), Andini (MM), Denis (KPS)</t>
  </si>
  <si>
    <t>PC Depresiasi (AIO): Syaiful (KPS), Reni (Assy), Winanta (Assy)</t>
  </si>
  <si>
    <t>PC Depresiasi (AIO): Abu.K (Assy), Rama (Injc), Ratih (Injc)</t>
  </si>
  <si>
    <t>PC Depresiasi (AIO): Amud (Injc), Hermasyah (Log), Adnan(PPC)</t>
  </si>
  <si>
    <t>PC Depresiasi (AIO): Nur Cahyo (PPC), Zacky (QC), Fazri (QC)</t>
  </si>
  <si>
    <t>25F03</t>
  </si>
  <si>
    <t>Device (Depreciation)</t>
  </si>
  <si>
    <t>Access Door (3 unit) area PRODUCTION OFFICE
- PIK1ACD011 Pintu Office Dekat Injection
- PIK1ACD012 Pintu Office Dekat Plant
- PIK1ACD013 Pintu Office Dekat PPC</t>
  </si>
  <si>
    <t>Access Door (3 unit) area QUALITY OFFICE
- PIK1ACD014 Pintu Office Dekat QT
- PIK1ACD015 Pintu Office Dekat ME
- PIK1ACD016 Pintu Catia Room</t>
  </si>
  <si>
    <t>Access Door (4 unit) area ADMIN OFFICE
- PIK1ACD007 Pintu Office Dekat HRGA
- PIK1ACD008 Pintu Office Dekat Marketing
- PIK1ACD009 Pintu Office Dekat Purchasing
- PIK1ACD010 Pintu F&amp;A</t>
  </si>
  <si>
    <t>Access Door (2unit) area PENGHUBUNG GENBA-LOBBY
-PIK1ACD017 Pintu di atas tangga LOBBY 
-PIK1ACD001 Pintu di bawah tangga LOBBY</t>
  </si>
  <si>
    <t>CCTV Camera (1 unit) area B (zona 1)
- CAM-04 Parkir Mobil 2</t>
  </si>
  <si>
    <t>CCTV Camera (1 unit) area C (zona 1)
- CAM-18 Mtc</t>
  </si>
  <si>
    <t>CCTV Camera (1 unit) area D (zona 1)
- CAM-05 Parkir Motor</t>
  </si>
  <si>
    <t>CCTV Camera (3 unit) area G (zona 1)
- CAM-24 INJ BMC
- CAM-26 Mat Resin 2
- CAM-28 Loading 1</t>
  </si>
  <si>
    <t>CCTV Camera (1 unit) area I (zona 1)
- CAM-29 Loading 2</t>
  </si>
  <si>
    <t>CCTV Camera (1 unit) area J (zona 1)
- CAM-38 Tent House 1</t>
  </si>
  <si>
    <t>CCTV Camera (1 unit) area O (zona 1)
- CAM-30 Loading 3</t>
  </si>
  <si>
    <t>CCTV Camera (6 unit) area K (zona 2)
- CAM-08 Lorong Loker 1
- CAM-09 Lorong Loker 2
- CAM-10 Absensi Male
- CAM-13 Tangga Bwh Kantin
- CAM-14 Tangga Kantin 1
- CAM-15 Tangga Kantin 2</t>
  </si>
  <si>
    <t>CCTV Camera (1 unit) area L (zona 2)
- CAM-12 Lorong Part Mat</t>
  </si>
  <si>
    <t>CCTV Camera (1 unit) area M (zona 2)
- CAM-11 Double Check</t>
  </si>
  <si>
    <t>CCTV Camera (2 unit) area Q (zona 2)
- CAM-06 Pos Belakang
- CAM-07 Fence Belakang</t>
  </si>
  <si>
    <t>CCTV Camera (3 unit) area R (zona 2)
- CAM-03 TPS Depan
- CAM-04 TPS Belakang 1
- CAM-05 TPS Belakang 2</t>
  </si>
  <si>
    <t>CCTV Camera (2 unit) area T (zona 2)
- CAM-01 Gate Pos 1
- CAM-02 Jalan Pos 1</t>
  </si>
  <si>
    <t>25F04</t>
  </si>
  <si>
    <t>Server Project</t>
  </si>
  <si>
    <t>Storage for Backup Offline</t>
  </si>
  <si>
    <t>Suprema Biostar Server License</t>
  </si>
  <si>
    <t>Server NVR CCTV Zona 2 depreciation</t>
  </si>
  <si>
    <t>Firewall DC depreciation</t>
  </si>
  <si>
    <t>Switch 48 Port (2 unit) Depreciation - Zona 1
- GADL2021 (Rak G1)
- GADL2022 (Rak G1)</t>
  </si>
  <si>
    <t>Switch 48 Port (2 unit) Depreciation - Zona 2
- GADL2013 (Rak C2)
- GADL2014 (Rak D2)</t>
  </si>
  <si>
    <t>Switch 24 port (2 unit) Depreciation area D &amp; H (Zona 1)
- SW 07
- SW 08</t>
  </si>
  <si>
    <t>Switch 24 port (2 unit) Depreciation area K &amp; L (Zona 2)
- SW 11
- SW 12</t>
  </si>
  <si>
    <t>Switch 24 port (2 unit) Depreciation area M &amp; N (Zona 2)
- SW 13
- SW 14</t>
  </si>
  <si>
    <t>Switch 24 port (2 unit) Depreciation area O &amp; P (Zona 2)
- SW 15
- SW 16</t>
  </si>
  <si>
    <t>Switch 24 port (2 unit) Depreciation area Q (Zona 2)
- SW 17
- SW 18</t>
  </si>
  <si>
    <t>Switch 24 port (2 unit) Depreciation area R &amp; S (Zona 2)
- SW 19
- SW 20</t>
  </si>
  <si>
    <t>Switch 24 port (2 unit) Depreciation area T &amp; F (Zona 2)
- SW 21
- SW 22</t>
  </si>
  <si>
    <t>25F05</t>
  </si>
  <si>
    <t>E-Manifest project</t>
  </si>
  <si>
    <t>Televisi 50 Inch (LOG) - AZIS - DIGITAL STOCK</t>
  </si>
  <si>
    <t>INTERFACE SURAT JALAN KE PRONES - AZIS</t>
  </si>
  <si>
    <t>WMS-INBOUND MODUL  QR SCAN - AZIS</t>
  </si>
  <si>
    <t>SCAN BHT (LOG) - AZISS- KEBUTUHAN SCAN KANBAN HAIZEN</t>
  </si>
  <si>
    <t>SCAN QR (LOG) -AZIS- KEBUTUHAN SCAN DELIVERY</t>
  </si>
  <si>
    <t>All in One PC (LOG) - AZIS - KEBUTUHAN  KONTROL STOCK</t>
  </si>
  <si>
    <t>25F06</t>
  </si>
  <si>
    <t>Prones Project</t>
  </si>
  <si>
    <t>UPLOAD PRICE PRONES (PCH) - ANDRE</t>
  </si>
  <si>
    <t>WEB BD SERVER DATABASE SQL- (PPC) - NUR CAHYO</t>
  </si>
  <si>
    <t>25F07</t>
  </si>
  <si>
    <t>Gathering Project</t>
  </si>
  <si>
    <t>PC Gathering Additional：Assy 11HQ LINE SUB ASSY - RAHMAT</t>
  </si>
  <si>
    <t>PC Gathering Additional：Assy 11ZA LINE SUB ASSY - RAHMAT</t>
  </si>
  <si>
    <t>PC Gathering Additional：Assy SAMPING 21HU LINE BARU - RAHMAT</t>
  </si>
  <si>
    <t>PC Gathering Additional：Assy SAMPING 21HW LINE BARU - RAHMAT</t>
  </si>
  <si>
    <t>PC Gathering Additional：Assy 11HQ LINE BARU - RAHMAT</t>
  </si>
  <si>
    <t>PC Gathering Additional：Assy 11ZA LINE BARU - RAHMAT</t>
  </si>
  <si>
    <t>PC Gathering Additional：Assy 11ZM LINE BARU - RAHMAT</t>
  </si>
  <si>
    <t>PC Gathering Additional：Assy 21ZG LINE BARU - RAHMAT</t>
  </si>
  <si>
    <t>PC Gathering Additional：Assy 21ZK LINE BARU - RAHMAT</t>
  </si>
  <si>
    <t>PC Gathering Additional：Assy 11ZL LINE BARU - RAHMAT</t>
  </si>
  <si>
    <t>25F08</t>
  </si>
  <si>
    <t>Cyber Project</t>
  </si>
  <si>
    <t>MICROSOFT PUREVIEW (E5) - MISBAHUL - CYBER SECURITY STANDARD</t>
  </si>
  <si>
    <t>MICROSOFT INTUNE (BusPrem) - MISBAHUL - CYBER SECURITY STANDARD</t>
  </si>
  <si>
    <t>25F09</t>
  </si>
  <si>
    <t>MSDM Project</t>
  </si>
  <si>
    <t xml:space="preserve">MODUL KOMPETENSI &amp; KARIR MANAJEMEN (HRGA) - AYUNG </t>
  </si>
  <si>
    <t>26F01</t>
  </si>
  <si>
    <t>Personal Computer (New) 2026</t>
  </si>
  <si>
    <t>26F02</t>
  </si>
  <si>
    <t>Personal Computer (Depreciation) 2026</t>
  </si>
  <si>
    <t>PC AIO : SYAIFUL (KPS)</t>
  </si>
  <si>
    <t>WORKSTATION TEKNIKAL : CAMTOOL ALKINDI (ME)</t>
  </si>
  <si>
    <t>WORKSTATION TEKNIKAL : MOLDFLOW ISMAIL (ME)</t>
  </si>
  <si>
    <t>LAPTOP MANAGER : EDI KUSNADI (TECHNICAL)</t>
  </si>
  <si>
    <t>LAPTOP MANAGER: IMAN KOESTIMAN (FA)</t>
  </si>
  <si>
    <t>WORSTATION TEKNIKAL : CATIA 2 DADI (MM)</t>
  </si>
  <si>
    <t>26F03</t>
  </si>
  <si>
    <t>SWITCH LAN 48 PORT : GADL2007 (ZONA 1) &amp; GADL2015 (ZONA 2)</t>
  </si>
  <si>
    <t>BHT LOGISTIC : PIKSCAN01, PIKSCAN02 &amp; PIKSCAN03</t>
  </si>
  <si>
    <t>BHT LOGISTIC : PIKSCAN04, PIKSCAN05 &amp; PIKSCAN06</t>
  </si>
  <si>
    <t>BHT LOGISTIC : PIKSCAN07, PIKSCAN08 &amp; PIKSCAN09</t>
  </si>
  <si>
    <t>26F04</t>
  </si>
  <si>
    <t>IOT (Depreciantion)</t>
  </si>
  <si>
    <t>TV MONITOR 55 INCH POSKO : SITI SULILAWATI (HSE)</t>
  </si>
  <si>
    <t>TV MONITOR 55 INCH CCTV LOG : RYAN (LOGISTIC)</t>
  </si>
  <si>
    <t>26F06</t>
  </si>
  <si>
    <t>Software (Additional)</t>
  </si>
  <si>
    <t>AUTO SIMPLY FOR GR NON MATERIAL PURCHASE (FA)</t>
  </si>
  <si>
    <t>INVOICE BARCODE REQ CUSTOMER (FA)</t>
  </si>
  <si>
    <t>APLIKASI MONITORING CCTV ASM-300 (IT)</t>
  </si>
  <si>
    <t>APLIKASI FLEXSENSE MENCARI FILE DUPLICATE (IT)</t>
  </si>
  <si>
    <t>NAS STORAGE DATA FOR ALL FILE APLIKASI SERVER (IT)</t>
  </si>
  <si>
    <t xml:space="preserve">UPS CENTER OFFICE QUALITY </t>
  </si>
  <si>
    <t>UPS REDUDANCE SERVER DRC</t>
  </si>
  <si>
    <t>SANDBOX FOR BACKUP PROTECTION</t>
  </si>
  <si>
    <t>DX Project 2026</t>
  </si>
  <si>
    <t>SMART ADMINISTARTION: NETWORKING (WLAN) : DADANG</t>
  </si>
  <si>
    <t>SMART ADMINISTARTION: SERVER : DADANG</t>
  </si>
  <si>
    <t>SMART ADMINISTARTION: APPLICATION : DADANG</t>
  </si>
  <si>
    <t>SMART PRODUCTION: ENHANCE PRONES : DADANG</t>
  </si>
  <si>
    <t>SMART PRODUCTION: STATION CONTROL (ASAKAI) : DADANG</t>
  </si>
  <si>
    <t>SMART PRODUCTION: QUALITY : DADANG</t>
  </si>
  <si>
    <t>WORKSTATION TEKNIKAL : DADANG (DX)</t>
  </si>
  <si>
    <t>設備投資予算申請、予実管理表</t>
    <rPh sb="0" eb="2">
      <t>セツビ</t>
    </rPh>
    <rPh sb="2" eb="4">
      <t>トウシ</t>
    </rPh>
    <rPh sb="4" eb="6">
      <t>ヨサン</t>
    </rPh>
    <rPh sb="6" eb="8">
      <t>シンセイ</t>
    </rPh>
    <rPh sb="9" eb="11">
      <t>ヨジツ</t>
    </rPh>
    <rPh sb="11" eb="13">
      <t>カンリ</t>
    </rPh>
    <rPh sb="13" eb="14">
      <t>オモテ</t>
    </rPh>
    <phoneticPr fontId="1"/>
  </si>
  <si>
    <t>Rate2026=YEN</t>
    <phoneticPr fontId="14"/>
  </si>
  <si>
    <t>計画</t>
    <rPh sb="0" eb="2">
      <t>ケイカク</t>
    </rPh>
    <phoneticPr fontId="1"/>
  </si>
  <si>
    <t>全体予算</t>
    <rPh sb="0" eb="2">
      <t>ゼンタイ</t>
    </rPh>
    <rPh sb="2" eb="4">
      <t>ヨサン</t>
    </rPh>
    <phoneticPr fontId="1"/>
  </si>
  <si>
    <t>詳細予算</t>
    <rPh sb="0" eb="2">
      <t>ショウサイ</t>
    </rPh>
    <rPh sb="2" eb="4">
      <t>ヨサン</t>
    </rPh>
    <phoneticPr fontId="1"/>
  </si>
  <si>
    <t>設備予算件名
Subject</t>
    <rPh sb="0" eb="2">
      <t>セツビ</t>
    </rPh>
    <rPh sb="2" eb="4">
      <t>ヨサン</t>
    </rPh>
    <rPh sb="4" eb="6">
      <t>ケンメイ</t>
    </rPh>
    <phoneticPr fontId="1"/>
  </si>
  <si>
    <t>当初計画
Initial plan</t>
    <rPh sb="0" eb="2">
      <t>トウショ</t>
    </rPh>
    <rPh sb="2" eb="4">
      <t>ケイカク</t>
    </rPh>
    <phoneticPr fontId="1"/>
  </si>
  <si>
    <t>見直し
Review</t>
    <rPh sb="0" eb="2">
      <t>ミナオ</t>
    </rPh>
    <phoneticPr fontId="1"/>
  </si>
  <si>
    <t>Item
No.</t>
    <phoneticPr fontId="1"/>
  </si>
  <si>
    <t>個別ｱｲﾃﾑ
Items</t>
    <rPh sb="0" eb="2">
      <t>コベツ</t>
    </rPh>
    <phoneticPr fontId="1"/>
  </si>
  <si>
    <t>1:1工場</t>
    <rPh sb="3" eb="5">
      <t>コウジョウ</t>
    </rPh>
    <phoneticPr fontId="1"/>
  </si>
  <si>
    <t>2:2輪用
2:2W</t>
    <rPh sb="3" eb="4">
      <t>リン</t>
    </rPh>
    <rPh sb="4" eb="5">
      <t>ヨウ</t>
    </rPh>
    <phoneticPr fontId="1"/>
  </si>
  <si>
    <t>数量
Qty</t>
    <rPh sb="0" eb="2">
      <t>スウリョウ</t>
    </rPh>
    <phoneticPr fontId="1"/>
  </si>
  <si>
    <t>目的区分
Purpose</t>
    <rPh sb="0" eb="2">
      <t>モクテキ</t>
    </rPh>
    <rPh sb="2" eb="4">
      <t>クブン</t>
    </rPh>
    <phoneticPr fontId="1"/>
  </si>
  <si>
    <t>売却
Sale</t>
    <rPh sb="0" eb="2">
      <t>バイキャク</t>
    </rPh>
    <phoneticPr fontId="1"/>
  </si>
  <si>
    <t>当初計画　　Initial　Plan</t>
    <rPh sb="0" eb="2">
      <t>トウショ</t>
    </rPh>
    <rPh sb="2" eb="4">
      <t>ケイカク</t>
    </rPh>
    <phoneticPr fontId="1"/>
  </si>
  <si>
    <t>2:2工場</t>
    <rPh sb="3" eb="5">
      <t>コウジョウ</t>
    </rPh>
    <phoneticPr fontId="1"/>
  </si>
  <si>
    <t>4;4輪用
4:4W</t>
    <rPh sb="3" eb="4">
      <t>リン</t>
    </rPh>
    <rPh sb="4" eb="5">
      <t>ヨウ</t>
    </rPh>
    <phoneticPr fontId="1"/>
  </si>
  <si>
    <t>購入金額
Purchase Price</t>
    <rPh sb="0" eb="2">
      <t>コウニュウ</t>
    </rPh>
    <rPh sb="2" eb="4">
      <t>キンガク</t>
    </rPh>
    <phoneticPr fontId="1"/>
  </si>
  <si>
    <t>為替
レート
Rate</t>
    <rPh sb="0" eb="2">
      <t>カワセ</t>
    </rPh>
    <phoneticPr fontId="1"/>
  </si>
  <si>
    <t>個別予算
Budget</t>
    <rPh sb="0" eb="2">
      <t>コベツ</t>
    </rPh>
    <rPh sb="2" eb="4">
      <t>ヨサン</t>
    </rPh>
    <phoneticPr fontId="1"/>
  </si>
  <si>
    <t>発注月
PO Date</t>
    <rPh sb="0" eb="2">
      <t>ハッチュウ</t>
    </rPh>
    <rPh sb="2" eb="3">
      <t>ツキ</t>
    </rPh>
    <phoneticPr fontId="1"/>
  </si>
  <si>
    <t>納入月
(出荷月)
T1/Ship Date</t>
    <rPh sb="0" eb="2">
      <t>ノウニュウ</t>
    </rPh>
    <rPh sb="2" eb="3">
      <t>ツキ</t>
    </rPh>
    <rPh sb="5" eb="7">
      <t>シュッカ</t>
    </rPh>
    <rPh sb="7" eb="8">
      <t>ツキ</t>
    </rPh>
    <phoneticPr fontId="1"/>
  </si>
  <si>
    <t>検収月</t>
    <phoneticPr fontId="14"/>
  </si>
  <si>
    <t>支払条件　Payment Conditions</t>
    <rPh sb="0" eb="2">
      <t>シハラ</t>
    </rPh>
    <rPh sb="2" eb="4">
      <t>ジョウケン</t>
    </rPh>
    <phoneticPr fontId="1"/>
  </si>
  <si>
    <t>量産運用
開始月
Mass Pro
Timing</t>
    <rPh sb="0" eb="2">
      <t>リョウサン</t>
    </rPh>
    <rPh sb="2" eb="4">
      <t>ウンヨウ</t>
    </rPh>
    <rPh sb="5" eb="7">
      <t>カイシ</t>
    </rPh>
    <rPh sb="7" eb="8">
      <t>ツキ</t>
    </rPh>
    <phoneticPr fontId="1"/>
  </si>
  <si>
    <t>資産
計上月
Capitalized month</t>
    <phoneticPr fontId="14"/>
  </si>
  <si>
    <t>申請額
Budget</t>
    <phoneticPr fontId="1"/>
  </si>
  <si>
    <t>0：共用</t>
    <rPh sb="2" eb="4">
      <t>キョウヨウ</t>
    </rPh>
    <phoneticPr fontId="1"/>
  </si>
  <si>
    <t>通貨
currency</t>
    <phoneticPr fontId="1"/>
  </si>
  <si>
    <t>購入金額
Price
(PENGAJUAN)</t>
  </si>
  <si>
    <t>購入金額
Price
(APPROVED)</t>
  </si>
  <si>
    <t>条件 Condition</t>
    <rPh sb="0" eb="2">
      <t>ジョウケン</t>
    </rPh>
    <phoneticPr fontId="1"/>
  </si>
  <si>
    <t>Rate</t>
    <phoneticPr fontId="1"/>
  </si>
  <si>
    <t>Amount of 
Payment1</t>
    <phoneticPr fontId="1"/>
  </si>
  <si>
    <t>Amount of 
Payment2</t>
    <phoneticPr fontId="1"/>
  </si>
  <si>
    <t>Amount of 
Payment3</t>
    <phoneticPr fontId="1"/>
  </si>
  <si>
    <t>(IDR)</t>
    <phoneticPr fontId="1"/>
  </si>
  <si>
    <t>(YYYYMM)</t>
    <phoneticPr fontId="1"/>
  </si>
  <si>
    <t>TOTAL</t>
    <phoneticPr fontId="14"/>
  </si>
  <si>
    <t>LAPTOP : CUCU PARIDA (PPM)</t>
  </si>
  <si>
    <t xml:space="preserve">LAPTOP MANAGER : REQUEST HRGA
- AGUS N
- SAMSURIZAL
- DERI M
</t>
  </si>
  <si>
    <t>Sudah Pakai PC Eks Agus &amp; Samsurizal</t>
  </si>
  <si>
    <r>
      <t xml:space="preserve">PC AIO : SYAFIQ (KPS)--&gt; PC AIO EX: SAMSURIZAL (PE) </t>
    </r>
    <r>
      <rPr>
        <b/>
        <sz val="10"/>
        <color theme="0"/>
        <rFont val="ＭＳ Ｐゴシック"/>
      </rPr>
      <t>DONE</t>
    </r>
  </si>
  <si>
    <r>
      <t xml:space="preserve">PC AIO : ARITONANG (PE) --&gt; PC AIO EX : FACHRI (HSE) </t>
    </r>
    <r>
      <rPr>
        <b/>
        <sz val="10"/>
        <color theme="0"/>
        <rFont val="ＭＳ Ｐゴシック"/>
      </rPr>
      <t>DONE</t>
    </r>
  </si>
  <si>
    <t>LAPTOP MANAGER : UJANG SOPANDI (QA)</t>
  </si>
  <si>
    <t>LAPTOP AKTIVITAS KHUSUS : LAPTOP TOA (IT)</t>
  </si>
  <si>
    <r>
      <t xml:space="preserve">CCTV CAMERA : CAM-27 (ZONA 1) &amp; CAM-50 (ZONA 2) </t>
    </r>
    <r>
      <rPr>
        <b/>
        <sz val="10"/>
        <rFont val="ＭＳ Ｐゴシック"/>
      </rPr>
      <t>DONE</t>
    </r>
  </si>
  <si>
    <r>
      <t xml:space="preserve">CCTV CAMERA : CAM-52 &amp; CAM-53 (ZONA 2) </t>
    </r>
    <r>
      <rPr>
        <b/>
        <sz val="10"/>
        <rFont val="ＭＳ Ｐゴシック"/>
      </rPr>
      <t>DONE PO</t>
    </r>
  </si>
  <si>
    <r>
      <t xml:space="preserve">CCTV CAMERA : CAM-28 &amp; CAM-29 (ZONA 1) </t>
    </r>
    <r>
      <rPr>
        <b/>
        <sz val="10"/>
        <rFont val="ＭＳ Ｐゴシック"/>
      </rPr>
      <t>DONE PO</t>
    </r>
  </si>
  <si>
    <r>
      <t xml:space="preserve">CCTV CAMERA : CAM-30 (ZONA 1) &amp; CAM-36 (ZONA 2) </t>
    </r>
    <r>
      <rPr>
        <b/>
        <sz val="10"/>
        <rFont val="ＭＳ Ｐゴシック"/>
      </rPr>
      <t>DONE PO</t>
    </r>
  </si>
  <si>
    <r>
      <t xml:space="preserve">CCTV CAMERA : CAM-37 &amp; CAM-38 (ZONA 2) </t>
    </r>
    <r>
      <rPr>
        <b/>
        <sz val="10"/>
        <rFont val="ＭＳ Ｐゴシック"/>
      </rPr>
      <t>DONE PO</t>
    </r>
  </si>
  <si>
    <r>
      <t xml:space="preserve">CCTV CAMERA : CAM-39 &amp; CAM-40 (ZONA 2) </t>
    </r>
    <r>
      <rPr>
        <b/>
        <sz val="10"/>
        <rFont val="ＭＳ Ｐゴシック"/>
      </rPr>
      <t>DONE PO</t>
    </r>
  </si>
  <si>
    <t>CCTV CAMERA : CAM-41(ZONA 2) &amp; CAM-25 (ZONA 1)</t>
  </si>
  <si>
    <t>CCTV CAMERA : CAM-03 &amp; CAM-04 (ZONA 2)</t>
  </si>
  <si>
    <t>CCTV CAMERA : CAM-05 &amp; CAM-06 (ZONA 2)</t>
  </si>
  <si>
    <t>CCTV CAMERA : CAM-07 &amp; CAM-10 (ZONA 2)</t>
  </si>
  <si>
    <t>CCTV CAMERA : CAM-11 &amp; CAM-12 (ZONA 2)</t>
  </si>
  <si>
    <t>CCTV CAMERA : CAM-13 &amp; CAM-16 (ZONA 2)</t>
  </si>
  <si>
    <r>
      <t xml:space="preserve">SWITCH CCTV 24 PORT : SW22 </t>
    </r>
    <r>
      <rPr>
        <b/>
        <sz val="10"/>
        <rFont val="ＭＳ Ｐゴシック"/>
      </rPr>
      <t>DONE</t>
    </r>
  </si>
  <si>
    <r>
      <t>SWITCH LAN 48 PORT : GADL2005 &amp; GADL2006 (ZONA 1)</t>
    </r>
    <r>
      <rPr>
        <b/>
        <sz val="10"/>
        <rFont val="ＭＳ Ｐゴシック"/>
      </rPr>
      <t xml:space="preserve"> DONE PO</t>
    </r>
  </si>
  <si>
    <r>
      <t xml:space="preserve">PRINTER DOTMATRIC LOG : RYAN (LOG) </t>
    </r>
    <r>
      <rPr>
        <b/>
        <sz val="10"/>
        <rFont val="ＭＳ Ｐゴシック"/>
      </rPr>
      <t>DONE PO</t>
    </r>
  </si>
  <si>
    <t>Sudah menggunakan Budget 2025</t>
  </si>
  <si>
    <t>TV MONITOR 55 INCH POSKO : SITI SULILAWATI (HSE)
(DILAKIKASIKAN KE LAPTOP MKT NEW MEMBER 18 JUTA)</t>
  </si>
  <si>
    <t>Pakai Budget 2025</t>
  </si>
  <si>
    <t>26F05</t>
  </si>
  <si>
    <t>Pakai Budget 2025 (CLOSED)</t>
  </si>
  <si>
    <t>DIGITALISASI ANDON</t>
  </si>
  <si>
    <t>AVAILABLE FIX BUDGET</t>
  </si>
  <si>
    <t>PC AIO : ARITONANG (PE)</t>
  </si>
  <si>
    <t>Prepared,</t>
  </si>
  <si>
    <t>Checked,</t>
  </si>
  <si>
    <t>Approved,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</si>
</sst>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* #,##0_);_(* \(#,##0\);_(* &quot;-&quot;_);_(@_)"/>
    <numFmt numFmtId="168" formatCode="_(* #,##0.00_);_(* \(#,##0.00\);_(* &quot;-&quot;??_);_(@_)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-&quot;¥&quot;* #,##0_-;\-&quot;¥&quot;* #,##0_-;_-&quot;¥&quot;* &quot;-&quot;_-;_-@_-"/>
    <numFmt numFmtId="172" formatCode="_-&quot;¥&quot;* #,##0.00_-;\-&quot;¥&quot;* #,##0.00_-;_-&quot;¥&quot;* &quot;-&quot;??_-;_-@_-"/>
    <numFmt numFmtId="173" formatCode="#,##0_ "/>
    <numFmt numFmtId="174" formatCode="[$-409]d\-mmm\-yy;@"/>
    <numFmt numFmtId="176" formatCode="0%;[=0]&quot;-&quot;;General"/>
    <numFmt numFmtId="177" formatCode="yy/mm"/>
    <numFmt numFmtId="178" formatCode="#,##0;[=0]&quot;-&quot;;[Red]\-#,##0"/>
    <numFmt numFmtId="179" formatCode="&quot;&quot;"/>
    <numFmt numFmtId="184" formatCode="_-* #,##0_-;\-* #,##0_-;_-* &quot;-&quot;??_-;_-@_-"/>
  </numFmts>
  <fonts count="67"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ＭＳ Ｐゴシック"/>
      <family val="2"/>
    </font>
    <font>
      <sz val="11"/>
      <name val="ＭＳ Ｐゴシック"/>
      <family val="2"/>
    </font>
    <font>
      <sz val="11"/>
      <name val="ＭＳ Ｐゴシック"/>
      <family val="2"/>
      <charset val="128"/>
    </font>
    <font>
      <sz val="14"/>
      <name val="ＭＳ Ｐゴシック"/>
      <family val="2"/>
      <charset val="128"/>
    </font>
    <font>
      <b/>
      <sz val="10"/>
      <name val="Tms Rmn"/>
      <family val="1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MS Sans Serif"/>
      <family val="2"/>
    </font>
    <font>
      <sz val="12"/>
      <name val="Arial"/>
      <family val="2"/>
    </font>
    <font>
      <sz val="12"/>
      <name val="新細明體"/>
      <family val="1"/>
      <charset val="128"/>
    </font>
    <font>
      <sz val="12"/>
      <name val="Times New Roman"/>
      <family val="1"/>
    </font>
    <font>
      <sz val="11"/>
      <name val="μ¸¿o"/>
      <family val="1"/>
      <charset val="128"/>
    </font>
    <font>
      <sz val="12"/>
      <name val="¹ÙÅÁÃ¼"/>
      <family val="1"/>
      <charset val="255"/>
    </font>
    <font>
      <sz val="12"/>
      <name val="¹UAAA¼"/>
      <family val="1"/>
      <charset val="255"/>
    </font>
    <font>
      <sz val="11"/>
      <name val="μ¸"/>
      <family val="1"/>
      <charset val="128"/>
    </font>
    <font>
      <sz val="12"/>
      <name val="바탕체"/>
      <family val="3"/>
      <charset val="255"/>
    </font>
    <font>
      <sz val="12"/>
      <name val="¹Ui"/>
      <family val="1"/>
      <charset val="255"/>
    </font>
    <font>
      <sz val="12"/>
      <name val="System"/>
      <family val="2"/>
    </font>
    <font>
      <sz val="12"/>
      <name val="μ¸¿oA¼"/>
      <family val="1"/>
      <charset val="128"/>
    </font>
    <font>
      <sz val="10"/>
      <name val="±¼¸²Ã¼"/>
      <family val="1"/>
      <charset val="128"/>
    </font>
    <font>
      <sz val="10"/>
      <name val="±¼¸²A¼"/>
      <family val="1"/>
      <charset val="128"/>
    </font>
    <font>
      <sz val="11"/>
      <color indexed="8"/>
      <name val="ＭＳ Ｐゴシック"/>
      <family val="2"/>
      <charset val="128"/>
    </font>
    <font>
      <sz val="10"/>
      <name val="Helv"/>
      <family val="2"/>
    </font>
    <font>
      <sz val="11"/>
      <color theme="1"/>
      <name val="ＭＳ Ｐゴシック"/>
      <family val="2"/>
    </font>
    <font>
      <sz val="12"/>
      <color indexed="10"/>
      <name val="ＭＳ 明朝"/>
      <family val="3"/>
      <charset val="128"/>
    </font>
    <font>
      <sz val="14"/>
      <name val="뼻뮝"/>
      <family val="1"/>
      <charset val="255"/>
    </font>
    <font>
      <sz val="12"/>
      <name val="뼻뮝"/>
      <family val="1"/>
      <charset val="255"/>
    </font>
    <font>
      <sz val="11"/>
      <name val="돋움"/>
      <family val="2"/>
      <charset val="255"/>
    </font>
    <font>
      <sz val="11"/>
      <name val="ＭＳ 明朝"/>
      <family val="3"/>
      <charset val="128"/>
    </font>
    <font>
      <sz val="10"/>
      <name val="ＭＳ Ｐゴシック"/>
      <family val="2"/>
      <charset val="128"/>
    </font>
    <font>
      <sz val="8"/>
      <name val="ＭＳ Ｐゴシック"/>
      <family val="2"/>
      <charset val="128"/>
    </font>
    <font>
      <strike/>
      <sz val="10"/>
      <name val="ＭＳ Ｐゴシック"/>
      <family val="2"/>
      <charset val="128"/>
    </font>
    <font>
      <sz val="10"/>
      <color rgb="FFFF0000"/>
      <name val="ＭＳ Ｐゴシック"/>
      <family val="2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10"/>
      <name val="MS PGothic"/>
      <family val="2"/>
      <charset val="128"/>
    </font>
    <font>
      <sz val="8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b/>
      <sz val="10"/>
      <color theme="1"/>
      <name val="ＭＳ Ｐゴシック"/>
    </font>
    <font>
      <b/>
      <sz val="10"/>
      <color rgb="FFFF0000"/>
      <name val="ＭＳ Ｐゴシック"/>
      <family val="2"/>
    </font>
    <font>
      <b/>
      <sz val="11"/>
      <name val="ＭＳ Ｐゴシック"/>
    </font>
    <font>
      <b/>
      <sz val="10"/>
      <name val="ＭＳ Ｐゴシック"/>
    </font>
    <font>
      <sz val="10"/>
      <color theme="0"/>
      <name val="ＭＳ Ｐゴシック"/>
      <family val="2"/>
      <charset val="128"/>
    </font>
    <font>
      <strike/>
      <sz val="10"/>
      <color rgb="FFFF0000"/>
      <name val="ＭＳ Ｐゴシック"/>
      <family val="2"/>
      <charset val="128"/>
    </font>
    <font>
      <b/>
      <sz val="10"/>
      <color theme="0"/>
      <name val="ＭＳ Ｐゴシック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17">
    <xf numFmtId="0" fontId="0" fillId="0" borderId="0"/>
    <xf numFmtId="38" fontId="13" fillId="0" borderId="0" applyFont="0" applyFill="0" applyBorder="0" applyAlignment="0" applyProtection="0"/>
    <xf numFmtId="0" fontId="13" fillId="0" borderId="0"/>
    <xf numFmtId="0" fontId="14" fillId="0" borderId="0">
      <alignment vertical="center"/>
    </xf>
    <xf numFmtId="174" fontId="15" fillId="0" borderId="0">
      <alignment vertical="center"/>
    </xf>
    <xf numFmtId="174" fontId="13" fillId="0" borderId="0"/>
    <xf numFmtId="174" fontId="14" fillId="0" borderId="0"/>
    <xf numFmtId="168" fontId="15" fillId="0" borderId="0" applyFont="0" applyFill="0" applyBorder="0" applyAlignment="0" applyProtection="0"/>
    <xf numFmtId="0" fontId="16" fillId="0" borderId="0"/>
    <xf numFmtId="168" fontId="16" fillId="0" borderId="0" applyFont="0" applyFill="0" applyBorder="0" applyAlignment="0" applyProtection="0"/>
    <xf numFmtId="174" fontId="15" fillId="0" borderId="0">
      <alignment vertical="center"/>
    </xf>
    <xf numFmtId="43" fontId="13" fillId="0" borderId="0" applyFont="0" applyFill="0" applyBorder="0" applyAlignment="0" applyProtection="0"/>
    <xf numFmtId="174" fontId="15" fillId="0" borderId="0">
      <alignment vertical="center"/>
    </xf>
    <xf numFmtId="174" fontId="13" fillId="0" borderId="0"/>
    <xf numFmtId="38" fontId="13" fillId="0" borderId="0" applyFont="0" applyFill="0" applyBorder="0" applyAlignment="0" applyProtection="0"/>
    <xf numFmtId="168" fontId="15" fillId="0" borderId="0" applyFont="0" applyFill="0" applyBorder="0" applyAlignment="0" applyProtection="0"/>
    <xf numFmtId="0" fontId="13" fillId="0" borderId="0">
      <alignment vertical="center"/>
    </xf>
    <xf numFmtId="174" fontId="15" fillId="0" borderId="0">
      <alignment vertical="center"/>
    </xf>
    <xf numFmtId="0" fontId="13" fillId="0" borderId="0"/>
    <xf numFmtId="0" fontId="14" fillId="0" borderId="0">
      <alignment vertical="center"/>
    </xf>
    <xf numFmtId="0" fontId="13" fillId="0" borderId="0"/>
    <xf numFmtId="0" fontId="14" fillId="0" borderId="0"/>
    <xf numFmtId="9" fontId="15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0" fontId="12" fillId="0" borderId="0"/>
    <xf numFmtId="168" fontId="12" fillId="0" borderId="0" applyFont="0" applyFill="0" applyBorder="0" applyAlignment="0" applyProtection="0"/>
    <xf numFmtId="0" fontId="11" fillId="0" borderId="0"/>
    <xf numFmtId="168" fontId="11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20" fillId="0" borderId="0"/>
    <xf numFmtId="0" fontId="8" fillId="0" borderId="0"/>
    <xf numFmtId="168" fontId="8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168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Font="0" applyFill="0" applyBorder="0" applyAlignment="0" applyProtection="0"/>
    <xf numFmtId="0" fontId="13" fillId="0" borderId="0"/>
    <xf numFmtId="0" fontId="13" fillId="0" borderId="0" applyFont="0" applyFill="0" applyBorder="0" applyAlignment="0" applyProtection="0"/>
    <xf numFmtId="0" fontId="13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24"/>
    <xf numFmtId="0" fontId="13" fillId="5" borderId="24"/>
    <xf numFmtId="0" fontId="13" fillId="6" borderId="24"/>
    <xf numFmtId="0" fontId="13" fillId="0" borderId="0" applyFill="0" applyBorder="0" applyAlignment="0"/>
    <xf numFmtId="0" fontId="23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13" fillId="0" borderId="0" applyFont="0" applyFill="0" applyBorder="0" applyAlignment="0" applyProtection="0">
      <alignment vertical="center"/>
    </xf>
    <xf numFmtId="0" fontId="13" fillId="0" borderId="0"/>
    <xf numFmtId="3" fontId="25" fillId="0" borderId="0" applyFont="0" applyFill="0" applyBorder="0" applyAlignment="0" applyProtection="0">
      <alignment vertical="top"/>
    </xf>
    <xf numFmtId="0" fontId="23" fillId="0" borderId="0"/>
    <xf numFmtId="0" fontId="23" fillId="0" borderId="0"/>
    <xf numFmtId="164" fontId="25" fillId="0" borderId="0" applyFont="0" applyFill="0" applyBorder="0" applyAlignment="0" applyProtection="0">
      <alignment vertical="top"/>
    </xf>
    <xf numFmtId="0" fontId="13" fillId="0" borderId="0"/>
    <xf numFmtId="0" fontId="25" fillId="0" borderId="0" applyFont="0" applyFill="0" applyBorder="0" applyAlignment="0" applyProtection="0">
      <alignment vertical="top"/>
    </xf>
    <xf numFmtId="0" fontId="13" fillId="0" borderId="0"/>
    <xf numFmtId="0" fontId="13" fillId="0" borderId="0" applyNumberFormat="0" applyFill="0" applyBorder="0" applyProtection="0">
      <alignment horizontal="left"/>
    </xf>
    <xf numFmtId="0" fontId="13" fillId="0" borderId="0" applyNumberFormat="0" applyFill="0" applyBorder="0" applyProtection="0">
      <alignment horizontal="right"/>
    </xf>
    <xf numFmtId="2" fontId="25" fillId="0" borderId="0" applyFont="0" applyFill="0" applyBorder="0" applyAlignment="0" applyProtection="0">
      <alignment vertical="top"/>
    </xf>
    <xf numFmtId="0" fontId="13" fillId="0" borderId="0" applyNumberFormat="0" applyFill="0" applyBorder="0" applyProtection="0">
      <alignment horizontal="right"/>
    </xf>
    <xf numFmtId="38" fontId="26" fillId="7" borderId="0" applyNumberFormat="0" applyBorder="0" applyAlignment="0" applyProtection="0"/>
    <xf numFmtId="0" fontId="13" fillId="0" borderId="15" applyNumberFormat="0" applyAlignment="0" applyProtection="0">
      <alignment horizontal="left" vertical="center"/>
    </xf>
    <xf numFmtId="0" fontId="13" fillId="0" borderId="14">
      <alignment horizontal="left" vertical="center"/>
    </xf>
    <xf numFmtId="0" fontId="13" fillId="0" borderId="0"/>
    <xf numFmtId="0" fontId="13" fillId="0" borderId="0"/>
    <xf numFmtId="0" fontId="13" fillId="0" borderId="0"/>
    <xf numFmtId="10" fontId="26" fillId="8" borderId="24" applyNumberFormat="0" applyBorder="0" applyAlignment="0" applyProtection="0"/>
    <xf numFmtId="0" fontId="13" fillId="0" borderId="0" applyNumberFormat="0" applyFill="0" applyBorder="0" applyProtection="0">
      <alignment horizontal="left"/>
    </xf>
    <xf numFmtId="1" fontId="27" fillId="0" borderId="0" applyProtection="0">
      <protection locked="0"/>
    </xf>
    <xf numFmtId="0" fontId="25" fillId="0" borderId="42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38" fontId="28" fillId="0" borderId="0" applyFont="0" applyFill="0" applyBorder="0" applyAlignment="0" applyProtection="0"/>
    <xf numFmtId="40" fontId="28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5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13" fillId="0" borderId="0"/>
    <xf numFmtId="0" fontId="29" fillId="0" borderId="0"/>
    <xf numFmtId="0" fontId="13" fillId="0" borderId="0"/>
    <xf numFmtId="0" fontId="23" fillId="0" borderId="0"/>
    <xf numFmtId="0" fontId="13" fillId="0" borderId="0" applyNumberFormat="0" applyFill="0" applyBorder="0" applyProtection="0">
      <alignment horizontal="left"/>
    </xf>
    <xf numFmtId="10" fontId="25" fillId="0" borderId="0" applyFont="0" applyFill="0" applyBorder="0" applyAlignment="0" applyProtection="0"/>
    <xf numFmtId="0" fontId="13" fillId="0" borderId="0" applyFont="0" applyFill="0" applyBorder="0" applyAlignment="0" applyProtection="0">
      <alignment vertical="center"/>
    </xf>
    <xf numFmtId="9" fontId="28" fillId="0" borderId="20" applyNumberFormat="0" applyBorder="0"/>
    <xf numFmtId="0" fontId="13" fillId="0" borderId="0" applyNumberFormat="0" applyFill="0" applyBorder="0" applyProtection="0">
      <alignment horizontal="right"/>
    </xf>
    <xf numFmtId="0" fontId="13" fillId="0" borderId="0" applyFont="0" applyFill="0" applyBorder="0" applyProtection="0">
      <alignment horizontal="right"/>
    </xf>
    <xf numFmtId="0" fontId="13" fillId="0" borderId="0"/>
    <xf numFmtId="0" fontId="13" fillId="0" borderId="0" applyNumberFormat="0" applyFill="0" applyBorder="0" applyAlignment="0" applyProtection="0"/>
    <xf numFmtId="0" fontId="13" fillId="9" borderId="43" applyNumberFormat="0" applyAlignment="0" applyProtection="0"/>
    <xf numFmtId="0" fontId="13" fillId="0" borderId="0" applyNumberFormat="0" applyFill="0" applyBorder="0" applyProtection="0">
      <alignment horizontal="right"/>
    </xf>
    <xf numFmtId="0" fontId="13" fillId="0" borderId="0" applyFont="0" applyFill="0" applyBorder="0" applyAlignment="0" applyProtection="0"/>
    <xf numFmtId="0" fontId="25" fillId="0" borderId="0">
      <alignment wrapText="1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0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3" fillId="0" borderId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/>
    <xf numFmtId="0" fontId="14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69" fontId="30" fillId="0" borderId="0" applyFont="0" applyFill="0" applyBorder="0" applyAlignment="0" applyProtection="0"/>
    <xf numFmtId="169" fontId="31" fillId="0" borderId="0" applyFont="0" applyFill="0" applyBorder="0" applyAlignment="0" applyProtection="0"/>
    <xf numFmtId="170" fontId="30" fillId="0" borderId="0" applyFont="0" applyFill="0" applyBorder="0" applyAlignment="0" applyProtection="0"/>
    <xf numFmtId="0" fontId="21" fillId="0" borderId="0"/>
    <xf numFmtId="38" fontId="21" fillId="0" borderId="0" applyFont="0" applyFill="0" applyBorder="0" applyAlignment="0" applyProtection="0"/>
    <xf numFmtId="0" fontId="25" fillId="0" borderId="0"/>
    <xf numFmtId="171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72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/>
    <xf numFmtId="0" fontId="33" fillId="0" borderId="0"/>
    <xf numFmtId="0" fontId="34" fillId="0" borderId="0"/>
    <xf numFmtId="0" fontId="38" fillId="0" borderId="0"/>
    <xf numFmtId="0" fontId="38" fillId="0" borderId="0"/>
    <xf numFmtId="0" fontId="33" fillId="0" borderId="0"/>
    <xf numFmtId="0" fontId="39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38" fontId="42" fillId="0" borderId="0" applyFont="0" applyFill="0" applyBorder="0" applyAlignment="0" applyProtection="0">
      <alignment vertical="center"/>
    </xf>
    <xf numFmtId="1" fontId="25" fillId="0" borderId="24"/>
    <xf numFmtId="0" fontId="43" fillId="0" borderId="0"/>
    <xf numFmtId="0" fontId="42" fillId="0" borderId="0"/>
    <xf numFmtId="0" fontId="42" fillId="0" borderId="0">
      <alignment vertical="center"/>
    </xf>
    <xf numFmtId="0" fontId="44" fillId="0" borderId="0"/>
    <xf numFmtId="0" fontId="21" fillId="0" borderId="0"/>
    <xf numFmtId="0" fontId="42" fillId="0" borderId="0"/>
    <xf numFmtId="9" fontId="4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176" fontId="45" fillId="0" borderId="41" applyFont="0" applyBorder="0"/>
    <xf numFmtId="38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/>
    <xf numFmtId="41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21" fillId="0" borderId="0"/>
    <xf numFmtId="177" fontId="49" fillId="0" borderId="0" applyBorder="0" applyAlignment="0"/>
    <xf numFmtId="40" fontId="42" fillId="0" borderId="0" applyFont="0" applyFill="0" applyBorder="0" applyAlignment="0" applyProtection="0">
      <alignment vertical="center"/>
    </xf>
    <xf numFmtId="178" fontId="45" fillId="0" borderId="41" applyFont="0" applyBorder="0"/>
    <xf numFmtId="0" fontId="21" fillId="0" borderId="0"/>
    <xf numFmtId="179" fontId="49" fillId="0" borderId="41"/>
    <xf numFmtId="0" fontId="20" fillId="0" borderId="0"/>
    <xf numFmtId="38" fontId="2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5" fillId="0" borderId="0"/>
    <xf numFmtId="174" fontId="5" fillId="0" borderId="0">
      <alignment vertical="center"/>
    </xf>
    <xf numFmtId="174" fontId="5" fillId="0" borderId="0"/>
    <xf numFmtId="174" fontId="5" fillId="0" borderId="0">
      <alignment vertical="center"/>
    </xf>
    <xf numFmtId="0" fontId="20" fillId="0" borderId="0">
      <alignment vertical="center"/>
    </xf>
    <xf numFmtId="0" fontId="5" fillId="0" borderId="0"/>
    <xf numFmtId="174" fontId="5" fillId="0" borderId="0">
      <alignment vertical="center"/>
    </xf>
    <xf numFmtId="0" fontId="20" fillId="0" borderId="0"/>
    <xf numFmtId="174" fontId="5" fillId="0" borderId="0">
      <alignment vertical="center"/>
    </xf>
    <xf numFmtId="0" fontId="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0" fillId="0" borderId="0"/>
    <xf numFmtId="0" fontId="5" fillId="0" borderId="0"/>
    <xf numFmtId="0" fontId="20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1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0" fontId="20" fillId="0" borderId="0"/>
    <xf numFmtId="0" fontId="20" fillId="0" borderId="0"/>
    <xf numFmtId="174" fontId="20" fillId="0" borderId="0"/>
    <xf numFmtId="0" fontId="20" fillId="0" borderId="0"/>
    <xf numFmtId="174" fontId="20" fillId="0" borderId="0"/>
    <xf numFmtId="0" fontId="20" fillId="0" borderId="0"/>
    <xf numFmtId="0" fontId="20" fillId="0" borderId="0"/>
    <xf numFmtId="9" fontId="24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174" fontId="4" fillId="0" borderId="0">
      <alignment vertical="center"/>
    </xf>
    <xf numFmtId="174" fontId="4" fillId="0" borderId="0"/>
    <xf numFmtId="174" fontId="4" fillId="0" borderId="0">
      <alignment vertical="center"/>
    </xf>
    <xf numFmtId="0" fontId="4" fillId="0" borderId="0"/>
    <xf numFmtId="174" fontId="4" fillId="0" borderId="0">
      <alignment vertical="center"/>
    </xf>
    <xf numFmtId="174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24" fillId="0" borderId="0"/>
    <xf numFmtId="0" fontId="3" fillId="0" borderId="0">
      <alignment vertical="center"/>
    </xf>
    <xf numFmtId="43" fontId="1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" fillId="0" borderId="0"/>
    <xf numFmtId="174" fontId="2" fillId="0" borderId="0">
      <alignment vertical="center"/>
    </xf>
    <xf numFmtId="174" fontId="2" fillId="0" borderId="0"/>
    <xf numFmtId="174" fontId="2" fillId="0" borderId="0">
      <alignment vertical="center"/>
    </xf>
    <xf numFmtId="0" fontId="2" fillId="0" borderId="0"/>
    <xf numFmtId="174" fontId="2" fillId="0" borderId="0">
      <alignment vertical="center"/>
    </xf>
    <xf numFmtId="174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74" fontId="2" fillId="0" borderId="0">
      <alignment vertical="center"/>
    </xf>
    <xf numFmtId="174" fontId="2" fillId="0" borderId="0"/>
    <xf numFmtId="174" fontId="2" fillId="0" borderId="0">
      <alignment vertical="center"/>
    </xf>
    <xf numFmtId="0" fontId="2" fillId="0" borderId="0"/>
    <xf numFmtId="174" fontId="2" fillId="0" borderId="0">
      <alignment vertical="center"/>
    </xf>
    <xf numFmtId="174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174" fontId="1" fillId="0" borderId="0">
      <alignment vertical="center"/>
    </xf>
    <xf numFmtId="174" fontId="1" fillId="0" borderId="0"/>
    <xf numFmtId="174" fontId="1" fillId="0" borderId="0">
      <alignment vertical="center"/>
    </xf>
    <xf numFmtId="0" fontId="1" fillId="0" borderId="0"/>
    <xf numFmtId="174" fontId="1" fillId="0" borderId="0">
      <alignment vertical="center"/>
    </xf>
    <xf numFmtId="174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4" fontId="1" fillId="0" borderId="0">
      <alignment vertical="center"/>
    </xf>
    <xf numFmtId="174" fontId="1" fillId="0" borderId="0"/>
    <xf numFmtId="174" fontId="1" fillId="0" borderId="0">
      <alignment vertical="center"/>
    </xf>
    <xf numFmtId="0" fontId="1" fillId="0" borderId="0"/>
    <xf numFmtId="174" fontId="1" fillId="0" borderId="0">
      <alignment vertical="center"/>
    </xf>
    <xf numFmtId="174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174" fontId="1" fillId="0" borderId="0">
      <alignment vertical="center"/>
    </xf>
    <xf numFmtId="174" fontId="1" fillId="0" borderId="0"/>
    <xf numFmtId="174" fontId="1" fillId="0" borderId="0">
      <alignment vertical="center"/>
    </xf>
    <xf numFmtId="0" fontId="1" fillId="0" borderId="0"/>
    <xf numFmtId="174" fontId="1" fillId="0" borderId="0">
      <alignment vertical="center"/>
    </xf>
    <xf numFmtId="174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4" fontId="1" fillId="0" borderId="0">
      <alignment vertical="center"/>
    </xf>
    <xf numFmtId="174" fontId="1" fillId="0" borderId="0"/>
    <xf numFmtId="174" fontId="1" fillId="0" borderId="0">
      <alignment vertical="center"/>
    </xf>
    <xf numFmtId="0" fontId="1" fillId="0" borderId="0"/>
    <xf numFmtId="174" fontId="1" fillId="0" borderId="0">
      <alignment vertical="center"/>
    </xf>
    <xf numFmtId="174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/>
  </cellStyleXfs>
  <cellXfs count="417">
    <xf numFmtId="0" fontId="0" fillId="0" borderId="0" xfId="0"/>
    <xf numFmtId="0" fontId="50" fillId="3" borderId="34" xfId="0" quotePrefix="1" applyFont="1" applyFill="1" applyBorder="1" applyAlignment="1">
      <alignment horizontal="center" vertical="top" shrinkToFit="1"/>
    </xf>
    <xf numFmtId="0" fontId="19" fillId="4" borderId="25" xfId="0" applyFont="1" applyFill="1" applyBorder="1" applyAlignment="1" applyProtection="1">
      <alignment horizontal="right" vertical="top" shrinkToFit="1"/>
      <protection locked="0"/>
    </xf>
    <xf numFmtId="0" fontId="50" fillId="3" borderId="25" xfId="0" applyFont="1" applyFill="1" applyBorder="1" applyAlignment="1">
      <alignment vertical="top" shrinkToFit="1"/>
    </xf>
    <xf numFmtId="38" fontId="50" fillId="3" borderId="25" xfId="0" applyNumberFormat="1" applyFont="1" applyFill="1" applyBorder="1" applyAlignment="1">
      <alignment vertical="top" shrinkToFit="1"/>
    </xf>
    <xf numFmtId="38" fontId="50" fillId="3" borderId="38" xfId="0" applyNumberFormat="1" applyFont="1" applyFill="1" applyBorder="1" applyAlignment="1">
      <alignment vertical="top" shrinkToFit="1"/>
    </xf>
    <xf numFmtId="38" fontId="50" fillId="3" borderId="34" xfId="0" applyNumberFormat="1" applyFont="1" applyFill="1" applyBorder="1" applyAlignment="1">
      <alignment horizontal="center" vertical="top" shrinkToFit="1"/>
    </xf>
    <xf numFmtId="0" fontId="50" fillId="0" borderId="25" xfId="0" applyFont="1" applyBorder="1" applyAlignment="1" applyProtection="1">
      <alignment vertical="top" shrinkToFit="1"/>
      <protection locked="0"/>
    </xf>
    <xf numFmtId="0" fontId="50" fillId="4" borderId="25" xfId="0" applyFont="1" applyFill="1" applyBorder="1" applyAlignment="1" applyProtection="1">
      <alignment vertical="top" shrinkToFit="1"/>
      <protection locked="0"/>
    </xf>
    <xf numFmtId="0" fontId="50" fillId="4" borderId="38" xfId="0" applyFont="1" applyFill="1" applyBorder="1" applyAlignment="1" applyProtection="1">
      <alignment vertical="top" shrinkToFit="1"/>
      <protection locked="0"/>
    </xf>
    <xf numFmtId="0" fontId="50" fillId="0" borderId="35" xfId="0" applyFont="1" applyBorder="1" applyAlignment="1" applyProtection="1">
      <alignment horizontal="center" vertical="top" shrinkToFit="1"/>
      <protection locked="0"/>
    </xf>
    <xf numFmtId="0" fontId="50" fillId="4" borderId="35" xfId="0" applyFont="1" applyFill="1" applyBorder="1" applyAlignment="1" applyProtection="1">
      <alignment horizontal="center" vertical="top" shrinkToFit="1"/>
      <protection locked="0"/>
    </xf>
    <xf numFmtId="0" fontId="50" fillId="4" borderId="37" xfId="0" applyFont="1" applyFill="1" applyBorder="1" applyAlignment="1" applyProtection="1">
      <alignment horizontal="center" vertical="top" shrinkToFit="1"/>
      <protection locked="0"/>
    </xf>
    <xf numFmtId="38" fontId="50" fillId="4" borderId="25" xfId="0" applyNumberFormat="1" applyFont="1" applyFill="1" applyBorder="1" applyAlignment="1" applyProtection="1">
      <alignment horizontal="center" vertical="top" shrinkToFit="1"/>
      <protection locked="0"/>
    </xf>
    <xf numFmtId="38" fontId="50" fillId="0" borderId="25" xfId="0" applyNumberFormat="1" applyFont="1" applyBorder="1" applyAlignment="1" applyProtection="1">
      <alignment vertical="top" shrinkToFit="1"/>
      <protection locked="0"/>
    </xf>
    <xf numFmtId="38" fontId="50" fillId="2" borderId="25" xfId="0" applyNumberFormat="1" applyFont="1" applyFill="1" applyBorder="1" applyAlignment="1">
      <alignment vertical="top" shrinkToFit="1"/>
    </xf>
    <xf numFmtId="0" fontId="50" fillId="4" borderId="25" xfId="0" applyFont="1" applyFill="1" applyBorder="1" applyAlignment="1" applyProtection="1">
      <alignment horizontal="right" vertical="top" shrinkToFit="1"/>
      <protection locked="0"/>
    </xf>
    <xf numFmtId="0" fontId="50" fillId="2" borderId="39" xfId="0" applyFont="1" applyFill="1" applyBorder="1" applyAlignment="1">
      <alignment vertical="top" shrinkToFit="1"/>
    </xf>
    <xf numFmtId="38" fontId="50" fillId="2" borderId="25" xfId="0" applyNumberFormat="1" applyFont="1" applyFill="1" applyBorder="1" applyAlignment="1">
      <alignment horizontal="center" vertical="top" shrinkToFit="1"/>
    </xf>
    <xf numFmtId="173" fontId="50" fillId="2" borderId="39" xfId="0" applyNumberFormat="1" applyFont="1" applyFill="1" applyBorder="1" applyAlignment="1">
      <alignment vertical="top" shrinkToFit="1"/>
    </xf>
    <xf numFmtId="0" fontId="50" fillId="0" borderId="0" xfId="0" applyFont="1" applyAlignment="1">
      <alignment horizontal="left" vertical="top"/>
    </xf>
    <xf numFmtId="0" fontId="50" fillId="0" borderId="0" xfId="0" applyFont="1" applyAlignment="1">
      <alignment vertical="top"/>
    </xf>
    <xf numFmtId="38" fontId="50" fillId="0" borderId="25" xfId="0" applyNumberFormat="1" applyFont="1" applyBorder="1" applyAlignment="1">
      <alignment vertical="top" shrinkToFit="1"/>
    </xf>
    <xf numFmtId="0" fontId="50" fillId="10" borderId="34" xfId="0" quotePrefix="1" applyFont="1" applyFill="1" applyBorder="1" applyAlignment="1">
      <alignment horizontal="center" vertical="top" shrinkToFit="1"/>
    </xf>
    <xf numFmtId="0" fontId="52" fillId="4" borderId="25" xfId="0" applyFont="1" applyFill="1" applyBorder="1" applyAlignment="1" applyProtection="1">
      <alignment vertical="top" shrinkToFit="1"/>
      <protection locked="0"/>
    </xf>
    <xf numFmtId="38" fontId="50" fillId="0" borderId="0" xfId="1" applyFont="1" applyFill="1" applyAlignment="1">
      <alignment vertical="top"/>
    </xf>
    <xf numFmtId="0" fontId="50" fillId="10" borderId="25" xfId="0" applyFont="1" applyFill="1" applyBorder="1" applyAlignment="1">
      <alignment vertical="top" shrinkToFit="1"/>
    </xf>
    <xf numFmtId="38" fontId="50" fillId="10" borderId="25" xfId="0" applyNumberFormat="1" applyFont="1" applyFill="1" applyBorder="1" applyAlignment="1">
      <alignment vertical="top" shrinkToFit="1"/>
    </xf>
    <xf numFmtId="38" fontId="50" fillId="10" borderId="34" xfId="0" applyNumberFormat="1" applyFont="1" applyFill="1" applyBorder="1" applyAlignment="1">
      <alignment horizontal="center" vertical="top" shrinkToFit="1"/>
    </xf>
    <xf numFmtId="0" fontId="50" fillId="10" borderId="25" xfId="0" applyFont="1" applyFill="1" applyBorder="1" applyAlignment="1" applyProtection="1">
      <alignment vertical="top" shrinkToFit="1"/>
      <protection locked="0"/>
    </xf>
    <xf numFmtId="0" fontId="50" fillId="10" borderId="38" xfId="0" applyFont="1" applyFill="1" applyBorder="1" applyAlignment="1" applyProtection="1">
      <alignment vertical="top" shrinkToFit="1"/>
      <protection locked="0"/>
    </xf>
    <xf numFmtId="0" fontId="50" fillId="10" borderId="35" xfId="0" applyFont="1" applyFill="1" applyBorder="1" applyAlignment="1" applyProtection="1">
      <alignment horizontal="center" vertical="top" shrinkToFit="1"/>
      <protection locked="0"/>
    </xf>
    <xf numFmtId="0" fontId="50" fillId="10" borderId="37" xfId="0" applyFont="1" applyFill="1" applyBorder="1" applyAlignment="1" applyProtection="1">
      <alignment horizontal="center" vertical="top" shrinkToFit="1"/>
      <protection locked="0"/>
    </xf>
    <xf numFmtId="38" fontId="50" fillId="10" borderId="25" xfId="0" applyNumberFormat="1" applyFont="1" applyFill="1" applyBorder="1" applyAlignment="1" applyProtection="1">
      <alignment horizontal="center" vertical="top" shrinkToFit="1"/>
      <protection locked="0"/>
    </xf>
    <xf numFmtId="38" fontId="50" fillId="10" borderId="25" xfId="0" applyNumberFormat="1" applyFont="1" applyFill="1" applyBorder="1" applyAlignment="1" applyProtection="1">
      <alignment vertical="top" shrinkToFit="1"/>
      <protection locked="0"/>
    </xf>
    <xf numFmtId="0" fontId="50" fillId="10" borderId="25" xfId="0" applyFont="1" applyFill="1" applyBorder="1" applyAlignment="1" applyProtection="1">
      <alignment horizontal="right" vertical="top" shrinkToFit="1"/>
      <protection locked="0"/>
    </xf>
    <xf numFmtId="0" fontId="50" fillId="10" borderId="39" xfId="0" applyFont="1" applyFill="1" applyBorder="1" applyAlignment="1">
      <alignment vertical="top" shrinkToFit="1"/>
    </xf>
    <xf numFmtId="38" fontId="50" fillId="10" borderId="25" xfId="0" applyNumberFormat="1" applyFont="1" applyFill="1" applyBorder="1" applyAlignment="1">
      <alignment horizontal="center" vertical="top" shrinkToFit="1"/>
    </xf>
    <xf numFmtId="173" fontId="50" fillId="10" borderId="39" xfId="0" applyNumberFormat="1" applyFont="1" applyFill="1" applyBorder="1" applyAlignment="1">
      <alignment vertical="top" shrinkToFit="1"/>
    </xf>
    <xf numFmtId="0" fontId="50" fillId="10" borderId="0" xfId="0" applyFont="1" applyFill="1" applyAlignment="1">
      <alignment vertical="top"/>
    </xf>
    <xf numFmtId="38" fontId="50" fillId="10" borderId="38" xfId="0" applyNumberFormat="1" applyFont="1" applyFill="1" applyBorder="1" applyAlignment="1">
      <alignment vertical="top" shrinkToFit="1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shrinkToFit="1"/>
    </xf>
    <xf numFmtId="173" fontId="50" fillId="0" borderId="0" xfId="0" applyNumberFormat="1" applyFont="1"/>
    <xf numFmtId="38" fontId="50" fillId="0" borderId="0" xfId="1" applyFont="1" applyFill="1" applyAlignment="1"/>
    <xf numFmtId="0" fontId="50" fillId="0" borderId="0" xfId="0" applyFont="1"/>
    <xf numFmtId="0" fontId="50" fillId="0" borderId="0" xfId="0" applyFont="1" applyAlignment="1">
      <alignment horizontal="left"/>
    </xf>
    <xf numFmtId="0" fontId="50" fillId="0" borderId="19" xfId="0" applyFont="1" applyBorder="1" applyAlignment="1">
      <alignment vertical="center"/>
    </xf>
    <xf numFmtId="0" fontId="50" fillId="0" borderId="20" xfId="0" applyFont="1" applyBorder="1" applyAlignment="1">
      <alignment vertical="center"/>
    </xf>
    <xf numFmtId="0" fontId="50" fillId="0" borderId="20" xfId="0" applyFont="1" applyBorder="1" applyAlignment="1">
      <alignment horizontal="center" vertical="center"/>
    </xf>
    <xf numFmtId="0" fontId="50" fillId="0" borderId="21" xfId="0" applyFont="1" applyBorder="1" applyAlignment="1">
      <alignment vertical="center"/>
    </xf>
    <xf numFmtId="173" fontId="50" fillId="0" borderId="22" xfId="0" applyNumberFormat="1" applyFont="1" applyBorder="1" applyAlignment="1">
      <alignment vertical="center"/>
    </xf>
    <xf numFmtId="173" fontId="50" fillId="0" borderId="14" xfId="0" applyNumberFormat="1" applyFont="1" applyBorder="1" applyAlignment="1">
      <alignment vertical="center"/>
    </xf>
    <xf numFmtId="173" fontId="50" fillId="0" borderId="23" xfId="0" applyNumberFormat="1" applyFont="1" applyBorder="1" applyAlignment="1">
      <alignment vertical="center"/>
    </xf>
    <xf numFmtId="173" fontId="50" fillId="0" borderId="14" xfId="0" applyNumberFormat="1" applyFont="1" applyBorder="1" applyAlignment="1">
      <alignment horizontal="center" vertical="center"/>
    </xf>
    <xf numFmtId="0" fontId="50" fillId="0" borderId="14" xfId="0" applyFont="1" applyBorder="1" applyAlignment="1">
      <alignment vertical="center" shrinkToFit="1"/>
    </xf>
    <xf numFmtId="0" fontId="50" fillId="0" borderId="23" xfId="0" applyFont="1" applyBorder="1" applyAlignment="1">
      <alignment vertical="center" shrinkToFit="1"/>
    </xf>
    <xf numFmtId="0" fontId="50" fillId="0" borderId="16" xfId="0" applyFont="1" applyBorder="1" applyAlignment="1">
      <alignment horizontal="center" vertical="center" wrapText="1" shrinkToFit="1"/>
    </xf>
    <xf numFmtId="0" fontId="50" fillId="0" borderId="33" xfId="0" applyFont="1" applyBorder="1" applyAlignment="1">
      <alignment horizontal="center" vertical="center" wrapText="1" shrinkToFit="1"/>
    </xf>
    <xf numFmtId="0" fontId="50" fillId="0" borderId="1" xfId="0" applyFont="1" applyBorder="1" applyAlignment="1">
      <alignment horizontal="center" vertical="center" wrapText="1" shrinkToFit="1"/>
    </xf>
    <xf numFmtId="0" fontId="50" fillId="0" borderId="2" xfId="0" applyFont="1" applyBorder="1" applyAlignment="1">
      <alignment horizontal="center" vertical="center" wrapText="1" shrinkToFit="1"/>
    </xf>
    <xf numFmtId="173" fontId="50" fillId="0" borderId="16" xfId="0" applyNumberFormat="1" applyFont="1" applyBorder="1" applyAlignment="1">
      <alignment horizontal="center" vertical="center" wrapText="1"/>
    </xf>
    <xf numFmtId="173" fontId="50" fillId="0" borderId="18" xfId="0" applyNumberFormat="1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173" fontId="50" fillId="0" borderId="26" xfId="0" applyNumberFormat="1" applyFont="1" applyBorder="1" applyAlignment="1">
      <alignment horizontal="center" vertical="center" wrapText="1"/>
    </xf>
    <xf numFmtId="173" fontId="50" fillId="0" borderId="27" xfId="0" applyNumberFormat="1" applyFont="1" applyBorder="1" applyAlignment="1">
      <alignment horizontal="center" vertical="center" wrapText="1"/>
    </xf>
    <xf numFmtId="38" fontId="50" fillId="0" borderId="40" xfId="1" applyFont="1" applyFill="1" applyBorder="1" applyAlignment="1">
      <alignment horizontal="center" vertical="center"/>
    </xf>
    <xf numFmtId="0" fontId="50" fillId="0" borderId="26" xfId="0" applyFont="1" applyBorder="1" applyAlignment="1">
      <alignment horizontal="center" vertical="center"/>
    </xf>
    <xf numFmtId="0" fontId="50" fillId="0" borderId="26" xfId="0" applyFont="1" applyBorder="1" applyAlignment="1">
      <alignment horizontal="center" vertical="center" wrapText="1"/>
    </xf>
    <xf numFmtId="0" fontId="50" fillId="0" borderId="31" xfId="0" applyFont="1" applyBorder="1" applyAlignment="1">
      <alignment horizontal="center" vertical="center" shrinkToFit="1"/>
    </xf>
    <xf numFmtId="0" fontId="50" fillId="0" borderId="30" xfId="0" applyFont="1" applyBorder="1" applyAlignment="1">
      <alignment horizontal="center" vertical="center" wrapText="1"/>
    </xf>
    <xf numFmtId="38" fontId="50" fillId="0" borderId="9" xfId="1" applyFont="1" applyFill="1" applyBorder="1" applyAlignment="1">
      <alignment vertical="top" shrinkToFit="1"/>
    </xf>
    <xf numFmtId="38" fontId="50" fillId="0" borderId="15" xfId="1" applyFont="1" applyFill="1" applyBorder="1" applyAlignment="1">
      <alignment vertical="top" shrinkToFit="1"/>
    </xf>
    <xf numFmtId="38" fontId="50" fillId="0" borderId="11" xfId="1" applyFont="1" applyFill="1" applyBorder="1" applyAlignment="1">
      <alignment horizontal="center" vertical="top" shrinkToFit="1"/>
    </xf>
    <xf numFmtId="38" fontId="50" fillId="0" borderId="11" xfId="1" applyFont="1" applyFill="1" applyBorder="1" applyAlignment="1">
      <alignment vertical="top" shrinkToFit="1"/>
    </xf>
    <xf numFmtId="38" fontId="50" fillId="0" borderId="13" xfId="1" applyFont="1" applyFill="1" applyBorder="1" applyAlignment="1">
      <alignment vertical="top" shrinkToFit="1"/>
    </xf>
    <xf numFmtId="173" fontId="50" fillId="0" borderId="0" xfId="0" applyNumberFormat="1" applyFont="1" applyAlignment="1">
      <alignment horizontal="center"/>
    </xf>
    <xf numFmtId="38" fontId="50" fillId="0" borderId="25" xfId="0" applyNumberFormat="1" applyFont="1" applyBorder="1" applyAlignment="1" applyProtection="1">
      <alignment horizontal="center" vertical="top" shrinkToFit="1"/>
      <protection locked="0"/>
    </xf>
    <xf numFmtId="0" fontId="50" fillId="0" borderId="39" xfId="0" applyFont="1" applyBorder="1" applyAlignment="1">
      <alignment vertical="top" shrinkToFit="1"/>
    </xf>
    <xf numFmtId="38" fontId="50" fillId="0" borderId="25" xfId="0" applyNumberFormat="1" applyFont="1" applyBorder="1" applyAlignment="1">
      <alignment horizontal="center" vertical="top" shrinkToFit="1"/>
    </xf>
    <xf numFmtId="173" fontId="50" fillId="0" borderId="39" xfId="0" applyNumberFormat="1" applyFont="1" applyBorder="1" applyAlignment="1">
      <alignment vertical="top" shrinkToFit="1"/>
    </xf>
    <xf numFmtId="38" fontId="50" fillId="3" borderId="34" xfId="0" quotePrefix="1" applyNumberFormat="1" applyFont="1" applyFill="1" applyBorder="1" applyAlignment="1">
      <alignment horizontal="center" vertical="top" shrinkToFit="1"/>
    </xf>
    <xf numFmtId="0" fontId="55" fillId="0" borderId="0" xfId="0" applyFont="1" applyAlignment="1">
      <alignment vertical="top"/>
    </xf>
    <xf numFmtId="0" fontId="55" fillId="3" borderId="25" xfId="0" applyFont="1" applyFill="1" applyBorder="1" applyAlignment="1">
      <alignment vertical="top" shrinkToFit="1"/>
    </xf>
    <xf numFmtId="38" fontId="55" fillId="3" borderId="25" xfId="0" applyNumberFormat="1" applyFont="1" applyFill="1" applyBorder="1" applyAlignment="1">
      <alignment vertical="top" shrinkToFit="1"/>
    </xf>
    <xf numFmtId="38" fontId="55" fillId="3" borderId="38" xfId="0" applyNumberFormat="1" applyFont="1" applyFill="1" applyBorder="1" applyAlignment="1">
      <alignment vertical="top" shrinkToFit="1"/>
    </xf>
    <xf numFmtId="0" fontId="55" fillId="2" borderId="39" xfId="0" applyFont="1" applyFill="1" applyBorder="1" applyAlignment="1">
      <alignment vertical="top" shrinkToFit="1"/>
    </xf>
    <xf numFmtId="38" fontId="55" fillId="2" borderId="25" xfId="0" applyNumberFormat="1" applyFont="1" applyFill="1" applyBorder="1" applyAlignment="1">
      <alignment horizontal="center" vertical="top" shrinkToFit="1"/>
    </xf>
    <xf numFmtId="173" fontId="55" fillId="2" borderId="39" xfId="0" applyNumberFormat="1" applyFont="1" applyFill="1" applyBorder="1" applyAlignment="1">
      <alignment vertical="top" shrinkToFit="1"/>
    </xf>
    <xf numFmtId="0" fontId="50" fillId="10" borderId="37" xfId="0" applyFont="1" applyFill="1" applyBorder="1" applyAlignment="1" applyProtection="1">
      <alignment horizontal="right" vertical="top" shrinkToFit="1"/>
      <protection locked="0"/>
    </xf>
    <xf numFmtId="0" fontId="50" fillId="10" borderId="29" xfId="0" quotePrefix="1" applyFont="1" applyFill="1" applyBorder="1" applyAlignment="1">
      <alignment horizontal="center" vertical="top" shrinkToFit="1"/>
    </xf>
    <xf numFmtId="0" fontId="50" fillId="10" borderId="26" xfId="0" applyFont="1" applyFill="1" applyBorder="1" applyAlignment="1">
      <alignment vertical="top" shrinkToFit="1"/>
    </xf>
    <xf numFmtId="38" fontId="50" fillId="10" borderId="26" xfId="0" applyNumberFormat="1" applyFont="1" applyFill="1" applyBorder="1" applyAlignment="1">
      <alignment vertical="top" shrinkToFit="1"/>
    </xf>
    <xf numFmtId="38" fontId="50" fillId="10" borderId="29" xfId="0" applyNumberFormat="1" applyFont="1" applyFill="1" applyBorder="1" applyAlignment="1">
      <alignment horizontal="center" vertical="top" shrinkToFit="1"/>
    </xf>
    <xf numFmtId="0" fontId="50" fillId="10" borderId="26" xfId="0" applyFont="1" applyFill="1" applyBorder="1" applyAlignment="1" applyProtection="1">
      <alignment vertical="top" shrinkToFit="1"/>
      <protection locked="0"/>
    </xf>
    <xf numFmtId="0" fontId="50" fillId="10" borderId="27" xfId="0" applyFont="1" applyFill="1" applyBorder="1" applyAlignment="1" applyProtection="1">
      <alignment vertical="top" shrinkToFit="1"/>
      <protection locked="0"/>
    </xf>
    <xf numFmtId="0" fontId="50" fillId="10" borderId="31" xfId="0" applyFont="1" applyFill="1" applyBorder="1" applyAlignment="1" applyProtection="1">
      <alignment horizontal="center" vertical="top" shrinkToFit="1"/>
      <protection locked="0"/>
    </xf>
    <xf numFmtId="0" fontId="50" fillId="10" borderId="30" xfId="0" applyFont="1" applyFill="1" applyBorder="1" applyAlignment="1" applyProtection="1">
      <alignment horizontal="center" vertical="top" shrinkToFit="1"/>
      <protection locked="0"/>
    </xf>
    <xf numFmtId="38" fontId="50" fillId="10" borderId="26" xfId="0" applyNumberFormat="1" applyFont="1" applyFill="1" applyBorder="1" applyAlignment="1" applyProtection="1">
      <alignment horizontal="center" vertical="top" shrinkToFit="1"/>
      <protection locked="0"/>
    </xf>
    <xf numFmtId="38" fontId="50" fillId="10" borderId="26" xfId="0" applyNumberFormat="1" applyFont="1" applyFill="1" applyBorder="1" applyAlignment="1" applyProtection="1">
      <alignment vertical="top" shrinkToFit="1"/>
      <protection locked="0"/>
    </xf>
    <xf numFmtId="0" fontId="50" fillId="10" borderId="26" xfId="0" applyFont="1" applyFill="1" applyBorder="1" applyAlignment="1" applyProtection="1">
      <alignment horizontal="right" vertical="top" shrinkToFit="1"/>
      <protection locked="0"/>
    </xf>
    <xf numFmtId="0" fontId="50" fillId="10" borderId="48" xfId="0" applyFont="1" applyFill="1" applyBorder="1" applyAlignment="1">
      <alignment vertical="top" shrinkToFit="1"/>
    </xf>
    <xf numFmtId="38" fontId="50" fillId="10" borderId="26" xfId="0" applyNumberFormat="1" applyFont="1" applyFill="1" applyBorder="1" applyAlignment="1">
      <alignment horizontal="center" vertical="top" shrinkToFit="1"/>
    </xf>
    <xf numFmtId="173" fontId="50" fillId="10" borderId="48" xfId="0" applyNumberFormat="1" applyFont="1" applyFill="1" applyBorder="1" applyAlignment="1">
      <alignment vertical="top" shrinkToFit="1"/>
    </xf>
    <xf numFmtId="0" fontId="50" fillId="10" borderId="30" xfId="0" applyFont="1" applyFill="1" applyBorder="1" applyAlignment="1" applyProtection="1">
      <alignment horizontal="right" vertical="top" shrinkToFit="1"/>
      <protection locked="0"/>
    </xf>
    <xf numFmtId="0" fontId="50" fillId="4" borderId="37" xfId="0" applyFont="1" applyFill="1" applyBorder="1" applyAlignment="1" applyProtection="1">
      <alignment horizontal="right" vertical="top" shrinkToFit="1"/>
      <protection locked="0"/>
    </xf>
    <xf numFmtId="38" fontId="50" fillId="10" borderId="27" xfId="0" applyNumberFormat="1" applyFont="1" applyFill="1" applyBorder="1" applyAlignment="1">
      <alignment vertical="top" shrinkToFit="1"/>
    </xf>
    <xf numFmtId="0" fontId="50" fillId="0" borderId="25" xfId="0" quotePrefix="1" applyFont="1" applyBorder="1" applyAlignment="1" applyProtection="1">
      <alignment vertical="top" shrinkToFit="1"/>
      <protection locked="0"/>
    </xf>
    <xf numFmtId="0" fontId="50" fillId="0" borderId="20" xfId="0" applyFont="1" applyBorder="1" applyAlignment="1">
      <alignment shrinkToFit="1"/>
    </xf>
    <xf numFmtId="0" fontId="50" fillId="0" borderId="20" xfId="0" applyFont="1" applyBorder="1" applyAlignment="1">
      <alignment horizontal="center"/>
    </xf>
    <xf numFmtId="38" fontId="50" fillId="0" borderId="20" xfId="1" applyFont="1" applyFill="1" applyBorder="1" applyAlignment="1"/>
    <xf numFmtId="38" fontId="55" fillId="2" borderId="20" xfId="1" applyFont="1" applyFill="1" applyBorder="1" applyAlignment="1">
      <alignment horizontal="right"/>
    </xf>
    <xf numFmtId="38" fontId="55" fillId="2" borderId="20" xfId="1" applyFont="1" applyFill="1" applyBorder="1" applyAlignment="1">
      <alignment shrinkToFit="1"/>
    </xf>
    <xf numFmtId="38" fontId="55" fillId="2" borderId="20" xfId="1" applyFont="1" applyFill="1" applyBorder="1" applyAlignment="1"/>
    <xf numFmtId="0" fontId="50" fillId="0" borderId="20" xfId="0" applyFont="1" applyBorder="1"/>
    <xf numFmtId="38" fontId="50" fillId="0" borderId="0" xfId="1" applyFont="1" applyFill="1" applyBorder="1" applyAlignment="1"/>
    <xf numFmtId="38" fontId="55" fillId="2" borderId="0" xfId="1" applyFont="1" applyFill="1" applyBorder="1" applyAlignment="1">
      <alignment horizontal="right"/>
    </xf>
    <xf numFmtId="38" fontId="55" fillId="2" borderId="0" xfId="1" applyFont="1" applyFill="1" applyBorder="1" applyAlignment="1"/>
    <xf numFmtId="0" fontId="55" fillId="4" borderId="37" xfId="0" applyFont="1" applyFill="1" applyBorder="1" applyAlignment="1" applyProtection="1">
      <alignment horizontal="right" vertical="top" shrinkToFit="1"/>
      <protection locked="0"/>
    </xf>
    <xf numFmtId="38" fontId="50" fillId="3" borderId="38" xfId="0" applyNumberFormat="1" applyFont="1" applyFill="1" applyBorder="1" applyAlignment="1">
      <alignment horizontal="right" vertical="top" shrinkToFit="1"/>
    </xf>
    <xf numFmtId="38" fontId="50" fillId="11" borderId="25" xfId="0" applyNumberFormat="1" applyFont="1" applyFill="1" applyBorder="1" applyAlignment="1">
      <alignment vertical="top" shrinkToFit="1"/>
    </xf>
    <xf numFmtId="0" fontId="50" fillId="11" borderId="34" xfId="0" quotePrefix="1" applyFont="1" applyFill="1" applyBorder="1" applyAlignment="1">
      <alignment horizontal="center" vertical="top" shrinkToFit="1"/>
    </xf>
    <xf numFmtId="0" fontId="50" fillId="0" borderId="35" xfId="0" applyFont="1" applyBorder="1" applyAlignment="1" applyProtection="1">
      <alignment horizontal="center" vertical="center" shrinkToFit="1"/>
      <protection locked="0"/>
    </xf>
    <xf numFmtId="0" fontId="50" fillId="0" borderId="25" xfId="0" applyFont="1" applyBorder="1" applyAlignment="1" applyProtection="1">
      <alignment vertical="top" wrapText="1" shrinkToFit="1"/>
      <protection locked="0"/>
    </xf>
    <xf numFmtId="173" fontId="50" fillId="0" borderId="36" xfId="0" applyNumberFormat="1" applyFont="1" applyBorder="1" applyAlignment="1">
      <alignment vertical="top" shrinkToFit="1"/>
    </xf>
    <xf numFmtId="38" fontId="50" fillId="0" borderId="36" xfId="0" applyNumberFormat="1" applyFont="1" applyBorder="1" applyAlignment="1" applyProtection="1">
      <alignment vertical="top" shrinkToFit="1"/>
      <protection locked="0"/>
    </xf>
    <xf numFmtId="38" fontId="50" fillId="2" borderId="25" xfId="0" applyNumberFormat="1" applyFont="1" applyFill="1" applyBorder="1" applyAlignment="1" applyProtection="1">
      <alignment vertical="top" shrinkToFit="1"/>
      <protection locked="0"/>
    </xf>
    <xf numFmtId="0" fontId="50" fillId="11" borderId="25" xfId="0" applyFont="1" applyFill="1" applyBorder="1" applyAlignment="1">
      <alignment vertical="top" shrinkToFit="1"/>
    </xf>
    <xf numFmtId="38" fontId="50" fillId="11" borderId="38" xfId="0" applyNumberFormat="1" applyFont="1" applyFill="1" applyBorder="1" applyAlignment="1">
      <alignment vertical="top" shrinkToFit="1"/>
    </xf>
    <xf numFmtId="38" fontId="50" fillId="11" borderId="34" xfId="0" applyNumberFormat="1" applyFont="1" applyFill="1" applyBorder="1" applyAlignment="1">
      <alignment horizontal="center" vertical="top" shrinkToFit="1"/>
    </xf>
    <xf numFmtId="0" fontId="52" fillId="0" borderId="25" xfId="0" applyFont="1" applyBorder="1" applyAlignment="1" applyProtection="1">
      <alignment vertical="top" shrinkToFit="1"/>
      <protection locked="0"/>
    </xf>
    <xf numFmtId="0" fontId="52" fillId="4" borderId="38" xfId="0" applyFont="1" applyFill="1" applyBorder="1" applyAlignment="1" applyProtection="1">
      <alignment vertical="top" shrinkToFit="1"/>
      <protection locked="0"/>
    </xf>
    <xf numFmtId="0" fontId="52" fillId="0" borderId="35" xfId="0" applyFont="1" applyBorder="1" applyAlignment="1" applyProtection="1">
      <alignment horizontal="center" vertical="top" shrinkToFit="1"/>
      <protection locked="0"/>
    </xf>
    <xf numFmtId="173" fontId="52" fillId="0" borderId="39" xfId="0" applyNumberFormat="1" applyFont="1" applyBorder="1" applyAlignment="1">
      <alignment vertical="top" shrinkToFit="1"/>
    </xf>
    <xf numFmtId="38" fontId="52" fillId="0" borderId="25" xfId="0" applyNumberFormat="1" applyFont="1" applyBorder="1" applyAlignment="1">
      <alignment vertical="top" shrinkToFit="1"/>
    </xf>
    <xf numFmtId="0" fontId="52" fillId="4" borderId="25" xfId="0" applyFont="1" applyFill="1" applyBorder="1" applyAlignment="1" applyProtection="1">
      <alignment horizontal="right" vertical="top" shrinkToFit="1"/>
      <protection locked="0"/>
    </xf>
    <xf numFmtId="0" fontId="52" fillId="0" borderId="39" xfId="0" applyFont="1" applyBorder="1" applyAlignment="1">
      <alignment vertical="top" shrinkToFit="1"/>
    </xf>
    <xf numFmtId="38" fontId="52" fillId="0" borderId="25" xfId="0" applyNumberFormat="1" applyFont="1" applyBorder="1" applyAlignment="1">
      <alignment horizontal="center" vertical="top" shrinkToFit="1"/>
    </xf>
    <xf numFmtId="38" fontId="57" fillId="3" borderId="25" xfId="0" applyNumberFormat="1" applyFont="1" applyFill="1" applyBorder="1" applyAlignment="1">
      <alignment vertical="top" shrinkToFit="1"/>
    </xf>
    <xf numFmtId="38" fontId="59" fillId="0" borderId="25" xfId="0" applyNumberFormat="1" applyFont="1" applyBorder="1" applyAlignment="1" applyProtection="1">
      <alignment vertical="top" shrinkToFit="1"/>
      <protection locked="0"/>
    </xf>
    <xf numFmtId="38" fontId="50" fillId="0" borderId="26" xfId="0" applyNumberFormat="1" applyFont="1" applyBorder="1" applyAlignment="1" applyProtection="1">
      <alignment vertical="top" shrinkToFit="1"/>
      <protection locked="0"/>
    </xf>
    <xf numFmtId="38" fontId="50" fillId="0" borderId="26" xfId="0" applyNumberFormat="1" applyFont="1" applyBorder="1" applyAlignment="1">
      <alignment vertical="top" shrinkToFit="1"/>
    </xf>
    <xf numFmtId="0" fontId="50" fillId="4" borderId="26" xfId="0" applyFont="1" applyFill="1" applyBorder="1" applyAlignment="1" applyProtection="1">
      <alignment horizontal="right" vertical="top" shrinkToFit="1"/>
      <protection locked="0"/>
    </xf>
    <xf numFmtId="0" fontId="50" fillId="0" borderId="48" xfId="0" applyFont="1" applyBorder="1" applyAlignment="1">
      <alignment vertical="top" shrinkToFit="1"/>
    </xf>
    <xf numFmtId="38" fontId="50" fillId="0" borderId="26" xfId="0" applyNumberFormat="1" applyFont="1" applyBorder="1" applyAlignment="1">
      <alignment horizontal="center" vertical="top" shrinkToFit="1"/>
    </xf>
    <xf numFmtId="173" fontId="50" fillId="0" borderId="48" xfId="0" applyNumberFormat="1" applyFont="1" applyBorder="1" applyAlignment="1">
      <alignment vertical="top" shrinkToFit="1"/>
    </xf>
    <xf numFmtId="0" fontId="50" fillId="0" borderId="26" xfId="0" applyFont="1" applyBorder="1" applyAlignment="1" applyProtection="1">
      <alignment vertical="top" shrinkToFit="1"/>
      <protection locked="0"/>
    </xf>
    <xf numFmtId="0" fontId="21" fillId="0" borderId="0" xfId="0" applyFont="1" applyAlignment="1">
      <alignment vertical="center"/>
    </xf>
    <xf numFmtId="38" fontId="50" fillId="11" borderId="36" xfId="0" applyNumberFormat="1" applyFont="1" applyFill="1" applyBorder="1" applyAlignment="1">
      <alignment horizontal="center" vertical="top" shrinkToFit="1"/>
    </xf>
    <xf numFmtId="0" fontId="50" fillId="4" borderId="26" xfId="0" applyFont="1" applyFill="1" applyBorder="1" applyAlignment="1" applyProtection="1">
      <alignment vertical="top" shrinkToFit="1"/>
      <protection locked="0"/>
    </xf>
    <xf numFmtId="0" fontId="50" fillId="4" borderId="27" xfId="0" applyFont="1" applyFill="1" applyBorder="1" applyAlignment="1" applyProtection="1">
      <alignment vertical="top" shrinkToFit="1"/>
      <protection locked="0"/>
    </xf>
    <xf numFmtId="0" fontId="50" fillId="4" borderId="31" xfId="0" applyFont="1" applyFill="1" applyBorder="1" applyAlignment="1" applyProtection="1">
      <alignment horizontal="center" vertical="top" shrinkToFit="1"/>
      <protection locked="0"/>
    </xf>
    <xf numFmtId="0" fontId="50" fillId="4" borderId="30" xfId="0" applyFont="1" applyFill="1" applyBorder="1" applyAlignment="1" applyProtection="1">
      <alignment horizontal="center" vertical="top" shrinkToFit="1"/>
      <protection locked="0"/>
    </xf>
    <xf numFmtId="38" fontId="50" fillId="4" borderId="26" xfId="0" applyNumberFormat="1" applyFont="1" applyFill="1" applyBorder="1" applyAlignment="1" applyProtection="1">
      <alignment horizontal="center" vertical="top" shrinkToFit="1"/>
      <protection locked="0"/>
    </xf>
    <xf numFmtId="0" fontId="50" fillId="4" borderId="30" xfId="0" applyFont="1" applyFill="1" applyBorder="1" applyAlignment="1" applyProtection="1">
      <alignment horizontal="right" vertical="top" shrinkToFit="1"/>
      <protection locked="0"/>
    </xf>
    <xf numFmtId="0" fontId="52" fillId="4" borderId="35" xfId="0" applyFont="1" applyFill="1" applyBorder="1" applyAlignment="1" applyProtection="1">
      <alignment horizontal="center" vertical="top" shrinkToFit="1"/>
      <protection locked="0"/>
    </xf>
    <xf numFmtId="0" fontId="52" fillId="4" borderId="37" xfId="0" applyFont="1" applyFill="1" applyBorder="1" applyAlignment="1" applyProtection="1">
      <alignment horizontal="center" vertical="top" shrinkToFit="1"/>
      <protection locked="0"/>
    </xf>
    <xf numFmtId="38" fontId="52" fillId="4" borderId="25" xfId="0" applyNumberFormat="1" applyFont="1" applyFill="1" applyBorder="1" applyAlignment="1" applyProtection="1">
      <alignment horizontal="center" vertical="top" shrinkToFit="1"/>
      <protection locked="0"/>
    </xf>
    <xf numFmtId="0" fontId="50" fillId="0" borderId="14" xfId="0" applyFont="1" applyBorder="1" applyAlignment="1">
      <alignment horizontal="center" vertical="center" shrinkToFit="1"/>
    </xf>
    <xf numFmtId="38" fontId="55" fillId="11" borderId="25" xfId="0" applyNumberFormat="1" applyFont="1" applyFill="1" applyBorder="1" applyAlignment="1">
      <alignment vertical="top" shrinkToFit="1"/>
    </xf>
    <xf numFmtId="0" fontId="50" fillId="0" borderId="31" xfId="0" applyFont="1" applyBorder="1" applyAlignment="1" applyProtection="1">
      <alignment horizontal="center" vertical="top" shrinkToFit="1"/>
      <protection locked="0"/>
    </xf>
    <xf numFmtId="0" fontId="50" fillId="4" borderId="54" xfId="0" applyFont="1" applyFill="1" applyBorder="1" applyAlignment="1" applyProtection="1">
      <alignment vertical="top" shrinkToFit="1"/>
      <protection locked="0"/>
    </xf>
    <xf numFmtId="0" fontId="50" fillId="4" borderId="51" xfId="0" applyFont="1" applyFill="1" applyBorder="1" applyAlignment="1" applyProtection="1">
      <alignment vertical="top" shrinkToFit="1"/>
      <protection locked="0"/>
    </xf>
    <xf numFmtId="0" fontId="50" fillId="11" borderId="25" xfId="0" applyFont="1" applyFill="1" applyBorder="1" applyAlignment="1">
      <alignment vertical="top" wrapText="1" shrinkToFit="1"/>
    </xf>
    <xf numFmtId="0" fontId="56" fillId="11" borderId="34" xfId="0" applyFont="1" applyFill="1" applyBorder="1" applyAlignment="1">
      <alignment vertical="top" shrinkToFit="1"/>
    </xf>
    <xf numFmtId="0" fontId="50" fillId="11" borderId="34" xfId="0" quotePrefix="1" applyFont="1" applyFill="1" applyBorder="1" applyAlignment="1">
      <alignment horizontal="center" vertical="top" wrapText="1" shrinkToFit="1"/>
    </xf>
    <xf numFmtId="0" fontId="55" fillId="11" borderId="34" xfId="0" applyFont="1" applyFill="1" applyBorder="1" applyAlignment="1">
      <alignment vertical="top" shrinkToFit="1"/>
    </xf>
    <xf numFmtId="0" fontId="50" fillId="4" borderId="25" xfId="0" applyFont="1" applyFill="1" applyBorder="1" applyAlignment="1" applyProtection="1">
      <alignment vertical="center" shrinkToFit="1"/>
      <protection locked="0"/>
    </xf>
    <xf numFmtId="38" fontId="50" fillId="2" borderId="25" xfId="0" applyNumberFormat="1" applyFont="1" applyFill="1" applyBorder="1" applyAlignment="1">
      <alignment horizontal="center" vertical="center" shrinkToFit="1"/>
    </xf>
    <xf numFmtId="38" fontId="50" fillId="0" borderId="25" xfId="0" applyNumberFormat="1" applyFont="1" applyBorder="1" applyAlignment="1" applyProtection="1">
      <alignment vertical="center" shrinkToFit="1"/>
      <protection locked="0"/>
    </xf>
    <xf numFmtId="38" fontId="50" fillId="4" borderId="25" xfId="0" applyNumberFormat="1" applyFont="1" applyFill="1" applyBorder="1" applyAlignment="1" applyProtection="1">
      <alignment horizontal="center" vertical="center" shrinkToFit="1"/>
      <protection locked="0"/>
    </xf>
    <xf numFmtId="0" fontId="50" fillId="4" borderId="37" xfId="0" applyFont="1" applyFill="1" applyBorder="1" applyAlignment="1" applyProtection="1">
      <alignment horizontal="center" vertical="center" shrinkToFit="1"/>
      <protection locked="0"/>
    </xf>
    <xf numFmtId="0" fontId="50" fillId="4" borderId="35" xfId="0" applyFont="1" applyFill="1" applyBorder="1" applyAlignment="1" applyProtection="1">
      <alignment horizontal="center" vertical="center" shrinkToFit="1"/>
      <protection locked="0"/>
    </xf>
    <xf numFmtId="0" fontId="50" fillId="4" borderId="38" xfId="0" applyFont="1" applyFill="1" applyBorder="1" applyAlignment="1" applyProtection="1">
      <alignment horizontal="left" vertical="center" shrinkToFit="1"/>
      <protection locked="0"/>
    </xf>
    <xf numFmtId="0" fontId="50" fillId="4" borderId="25" xfId="0" applyFont="1" applyFill="1" applyBorder="1" applyAlignment="1" applyProtection="1">
      <alignment horizontal="left" vertical="center" shrinkToFit="1"/>
      <protection locked="0"/>
    </xf>
    <xf numFmtId="0" fontId="50" fillId="0" borderId="0" xfId="0" applyFont="1" applyAlignment="1">
      <alignment vertical="top" wrapText="1"/>
    </xf>
    <xf numFmtId="0" fontId="50" fillId="4" borderId="37" xfId="0" applyFont="1" applyFill="1" applyBorder="1" applyAlignment="1" applyProtection="1">
      <alignment horizontal="right" vertical="top" wrapText="1" shrinkToFit="1"/>
      <protection locked="0"/>
    </xf>
    <xf numFmtId="0" fontId="50" fillId="4" borderId="25" xfId="0" applyFont="1" applyFill="1" applyBorder="1" applyAlignment="1" applyProtection="1">
      <alignment horizontal="right" vertical="top" wrapText="1" shrinkToFit="1"/>
      <protection locked="0"/>
    </xf>
    <xf numFmtId="38" fontId="50" fillId="2" borderId="25" xfId="0" applyNumberFormat="1" applyFont="1" applyFill="1" applyBorder="1" applyAlignment="1">
      <alignment vertical="top" wrapText="1" shrinkToFit="1"/>
    </xf>
    <xf numFmtId="38" fontId="50" fillId="0" borderId="25" xfId="0" applyNumberFormat="1" applyFont="1" applyBorder="1" applyAlignment="1" applyProtection="1">
      <alignment vertical="top" wrapText="1" shrinkToFit="1"/>
      <protection locked="0"/>
    </xf>
    <xf numFmtId="38" fontId="50" fillId="4" borderId="25" xfId="0" applyNumberFormat="1" applyFont="1" applyFill="1" applyBorder="1" applyAlignment="1" applyProtection="1">
      <alignment horizontal="center" vertical="top" wrapText="1" shrinkToFit="1"/>
      <protection locked="0"/>
    </xf>
    <xf numFmtId="0" fontId="50" fillId="4" borderId="37" xfId="0" applyFont="1" applyFill="1" applyBorder="1" applyAlignment="1" applyProtection="1">
      <alignment horizontal="center" vertical="top" wrapText="1" shrinkToFit="1"/>
      <protection locked="0"/>
    </xf>
    <xf numFmtId="0" fontId="50" fillId="4" borderId="52" xfId="0" applyFont="1" applyFill="1" applyBorder="1" applyAlignment="1" applyProtection="1">
      <alignment horizontal="right" vertical="top" shrinkToFit="1"/>
      <protection locked="0"/>
    </xf>
    <xf numFmtId="0" fontId="50" fillId="4" borderId="51" xfId="0" applyFont="1" applyFill="1" applyBorder="1" applyAlignment="1" applyProtection="1">
      <alignment horizontal="right" vertical="top" shrinkToFit="1"/>
      <protection locked="0"/>
    </xf>
    <xf numFmtId="38" fontId="50" fillId="0" borderId="51" xfId="0" applyNumberFormat="1" applyFont="1" applyBorder="1" applyAlignment="1" applyProtection="1">
      <alignment vertical="top" shrinkToFit="1"/>
      <protection locked="0"/>
    </xf>
    <xf numFmtId="0" fontId="50" fillId="4" borderId="56" xfId="0" applyFont="1" applyFill="1" applyBorder="1" applyAlignment="1" applyProtection="1">
      <alignment horizontal="center" vertical="top" shrinkToFit="1"/>
      <protection locked="0"/>
    </xf>
    <xf numFmtId="0" fontId="50" fillId="0" borderId="56" xfId="0" applyFont="1" applyBorder="1" applyAlignment="1" applyProtection="1">
      <alignment horizontal="center" vertical="top" shrinkToFit="1"/>
      <protection locked="0"/>
    </xf>
    <xf numFmtId="0" fontId="50" fillId="4" borderId="35" xfId="0" applyFont="1" applyFill="1" applyBorder="1" applyAlignment="1" applyProtection="1">
      <alignment horizontal="center" vertical="top" wrapText="1" shrinkToFit="1"/>
      <protection locked="0"/>
    </xf>
    <xf numFmtId="0" fontId="50" fillId="0" borderId="35" xfId="0" applyFont="1" applyBorder="1" applyAlignment="1" applyProtection="1">
      <alignment horizontal="center" vertical="top" wrapText="1" shrinkToFit="1"/>
      <protection locked="0"/>
    </xf>
    <xf numFmtId="0" fontId="50" fillId="4" borderId="38" xfId="0" applyFont="1" applyFill="1" applyBorder="1" applyAlignment="1" applyProtection="1">
      <alignment vertical="top" wrapText="1" shrinkToFit="1"/>
      <protection locked="0"/>
    </xf>
    <xf numFmtId="0" fontId="50" fillId="4" borderId="25" xfId="0" applyFont="1" applyFill="1" applyBorder="1" applyAlignment="1" applyProtection="1">
      <alignment vertical="top" wrapText="1" shrinkToFit="1"/>
      <protection locked="0"/>
    </xf>
    <xf numFmtId="0" fontId="50" fillId="4" borderId="52" xfId="0" applyFont="1" applyFill="1" applyBorder="1" applyAlignment="1" applyProtection="1">
      <alignment horizontal="center" vertical="top" shrinkToFit="1"/>
      <protection locked="0"/>
    </xf>
    <xf numFmtId="0" fontId="50" fillId="11" borderId="25" xfId="0" applyFont="1" applyFill="1" applyBorder="1" applyAlignment="1">
      <alignment horizontal="center" vertical="center" shrinkToFit="1"/>
    </xf>
    <xf numFmtId="0" fontId="56" fillId="11" borderId="9" xfId="0" applyFont="1" applyFill="1" applyBorder="1" applyAlignment="1">
      <alignment horizontal="center" vertical="center" shrinkToFit="1"/>
    </xf>
    <xf numFmtId="38" fontId="50" fillId="11" borderId="38" xfId="0" applyNumberFormat="1" applyFont="1" applyFill="1" applyBorder="1" applyAlignment="1">
      <alignment horizontal="center" vertical="center" shrinkToFit="1"/>
    </xf>
    <xf numFmtId="38" fontId="50" fillId="11" borderId="25" xfId="0" applyNumberFormat="1" applyFont="1" applyFill="1" applyBorder="1" applyAlignment="1">
      <alignment horizontal="center" vertical="center" shrinkToFit="1"/>
    </xf>
    <xf numFmtId="38" fontId="55" fillId="11" borderId="51" xfId="0" applyNumberFormat="1" applyFont="1" applyFill="1" applyBorder="1" applyAlignment="1">
      <alignment vertical="top" shrinkToFit="1"/>
    </xf>
    <xf numFmtId="0" fontId="50" fillId="11" borderId="45" xfId="0" quotePrefix="1" applyFont="1" applyFill="1" applyBorder="1" applyAlignment="1">
      <alignment horizontal="center" vertical="top" shrinkToFit="1"/>
    </xf>
    <xf numFmtId="0" fontId="50" fillId="4" borderId="25" xfId="0" applyFont="1" applyFill="1" applyBorder="1" applyAlignment="1" applyProtection="1">
      <alignment horizontal="center" vertical="center" shrinkToFit="1"/>
      <protection locked="0"/>
    </xf>
    <xf numFmtId="0" fontId="54" fillId="0" borderId="51" xfId="0" applyFont="1" applyBorder="1" applyAlignment="1" applyProtection="1">
      <alignment vertical="top" shrinkToFit="1"/>
      <protection locked="0"/>
    </xf>
    <xf numFmtId="0" fontId="50" fillId="11" borderId="51" xfId="0" applyFont="1" applyFill="1" applyBorder="1" applyAlignment="1">
      <alignment vertical="top" shrinkToFit="1"/>
    </xf>
    <xf numFmtId="38" fontId="55" fillId="11" borderId="50" xfId="0" applyNumberFormat="1" applyFont="1" applyFill="1" applyBorder="1" applyAlignment="1">
      <alignment vertical="top" shrinkToFit="1"/>
    </xf>
    <xf numFmtId="0" fontId="50" fillId="11" borderId="34" xfId="0" quotePrefix="1" applyFont="1" applyFill="1" applyBorder="1" applyAlignment="1">
      <alignment horizontal="center" vertical="center" shrinkToFit="1"/>
    </xf>
    <xf numFmtId="38" fontId="50" fillId="11" borderId="10" xfId="1" applyFont="1" applyFill="1" applyBorder="1" applyAlignment="1">
      <alignment vertical="top" shrinkToFit="1"/>
    </xf>
    <xf numFmtId="38" fontId="56" fillId="11" borderId="25" xfId="0" applyNumberFormat="1" applyFont="1" applyFill="1" applyBorder="1" applyAlignment="1">
      <alignment vertical="top" shrinkToFit="1"/>
    </xf>
    <xf numFmtId="0" fontId="50" fillId="11" borderId="34" xfId="0" applyFont="1" applyFill="1" applyBorder="1" applyAlignment="1">
      <alignment vertical="top" shrinkToFit="1"/>
    </xf>
    <xf numFmtId="38" fontId="50" fillId="4" borderId="51" xfId="0" applyNumberFormat="1" applyFont="1" applyFill="1" applyBorder="1" applyAlignment="1" applyProtection="1">
      <alignment horizontal="center" vertical="top" shrinkToFit="1"/>
      <protection locked="0"/>
    </xf>
    <xf numFmtId="38" fontId="50" fillId="11" borderId="25" xfId="0" applyNumberFormat="1" applyFont="1" applyFill="1" applyBorder="1" applyAlignment="1">
      <alignment vertical="top" wrapText="1" shrinkToFit="1"/>
    </xf>
    <xf numFmtId="38" fontId="56" fillId="11" borderId="9" xfId="1" applyFont="1" applyFill="1" applyBorder="1" applyAlignment="1">
      <alignment horizontal="right" vertical="center"/>
    </xf>
    <xf numFmtId="38" fontId="50" fillId="11" borderId="8" xfId="1" quotePrefix="1" applyFont="1" applyFill="1" applyBorder="1" applyAlignment="1">
      <alignment horizontal="center" vertical="top" shrinkToFit="1"/>
    </xf>
    <xf numFmtId="38" fontId="50" fillId="11" borderId="50" xfId="0" applyNumberFormat="1" applyFont="1" applyFill="1" applyBorder="1" applyAlignment="1">
      <alignment vertical="top" shrinkToFit="1"/>
    </xf>
    <xf numFmtId="38" fontId="50" fillId="11" borderId="38" xfId="0" applyNumberFormat="1" applyFont="1" applyFill="1" applyBorder="1" applyAlignment="1">
      <alignment vertical="top" wrapText="1" shrinkToFit="1"/>
    </xf>
    <xf numFmtId="38" fontId="50" fillId="11" borderId="9" xfId="1" applyFont="1" applyFill="1" applyBorder="1" applyAlignment="1">
      <alignment vertical="top" shrinkToFit="1"/>
    </xf>
    <xf numFmtId="0" fontId="50" fillId="2" borderId="39" xfId="0" applyFont="1" applyFill="1" applyBorder="1" applyAlignment="1">
      <alignment horizontal="center" vertical="top" shrinkToFit="1"/>
    </xf>
    <xf numFmtId="0" fontId="51" fillId="2" borderId="39" xfId="0" applyFont="1" applyFill="1" applyBorder="1" applyAlignment="1">
      <alignment horizontal="center" vertical="top" shrinkToFit="1"/>
    </xf>
    <xf numFmtId="0" fontId="50" fillId="10" borderId="39" xfId="0" applyFont="1" applyFill="1" applyBorder="1" applyAlignment="1">
      <alignment horizontal="center" vertical="top" shrinkToFit="1"/>
    </xf>
    <xf numFmtId="0" fontId="50" fillId="10" borderId="48" xfId="0" applyFont="1" applyFill="1" applyBorder="1" applyAlignment="1">
      <alignment horizontal="center" vertical="top" shrinkToFit="1"/>
    </xf>
    <xf numFmtId="38" fontId="50" fillId="0" borderId="9" xfId="1" applyFont="1" applyFill="1" applyBorder="1" applyAlignment="1">
      <alignment horizontal="center" vertical="top" shrinkToFit="1"/>
    </xf>
    <xf numFmtId="0" fontId="50" fillId="0" borderId="39" xfId="0" applyFont="1" applyBorder="1" applyAlignment="1">
      <alignment horizontal="center" vertical="top" shrinkToFit="1"/>
    </xf>
    <xf numFmtId="0" fontId="51" fillId="0" borderId="39" xfId="0" applyFont="1" applyBorder="1" applyAlignment="1">
      <alignment horizontal="center" vertical="top" shrinkToFit="1"/>
    </xf>
    <xf numFmtId="0" fontId="52" fillId="0" borderId="39" xfId="0" applyFont="1" applyBorder="1" applyAlignment="1">
      <alignment horizontal="center" vertical="top" shrinkToFit="1"/>
    </xf>
    <xf numFmtId="0" fontId="50" fillId="4" borderId="25" xfId="0" applyFont="1" applyFill="1" applyBorder="1" applyAlignment="1" applyProtection="1">
      <alignment horizontal="center" vertical="top" shrinkToFit="1"/>
      <protection locked="0"/>
    </xf>
    <xf numFmtId="0" fontId="50" fillId="10" borderId="25" xfId="0" applyFont="1" applyFill="1" applyBorder="1" applyAlignment="1" applyProtection="1">
      <alignment horizontal="center" vertical="top" shrinkToFit="1"/>
      <protection locked="0"/>
    </xf>
    <xf numFmtId="0" fontId="50" fillId="10" borderId="26" xfId="0" applyFont="1" applyFill="1" applyBorder="1" applyAlignment="1" applyProtection="1">
      <alignment horizontal="center" vertical="top" shrinkToFit="1"/>
      <protection locked="0"/>
    </xf>
    <xf numFmtId="0" fontId="52" fillId="4" borderId="25" xfId="0" applyFont="1" applyFill="1" applyBorder="1" applyAlignment="1" applyProtection="1">
      <alignment horizontal="center" vertical="top" shrinkToFit="1"/>
      <protection locked="0"/>
    </xf>
    <xf numFmtId="0" fontId="50" fillId="4" borderId="51" xfId="0" applyFont="1" applyFill="1" applyBorder="1" applyAlignment="1" applyProtection="1">
      <alignment horizontal="center" vertical="top" shrinkToFit="1"/>
      <protection locked="0"/>
    </xf>
    <xf numFmtId="0" fontId="50" fillId="4" borderId="25" xfId="0" applyFont="1" applyFill="1" applyBorder="1" applyAlignment="1" applyProtection="1">
      <alignment horizontal="center" vertical="top" wrapText="1" shrinkToFit="1"/>
      <protection locked="0"/>
    </xf>
    <xf numFmtId="0" fontId="50" fillId="11" borderId="55" xfId="0" quotePrefix="1" applyFont="1" applyFill="1" applyBorder="1" applyAlignment="1">
      <alignment horizontal="center" vertical="top" shrinkToFit="1"/>
    </xf>
    <xf numFmtId="0" fontId="50" fillId="11" borderId="53" xfId="0" applyFont="1" applyFill="1" applyBorder="1" applyAlignment="1">
      <alignment vertical="top" shrinkToFit="1"/>
    </xf>
    <xf numFmtId="38" fontId="50" fillId="11" borderId="51" xfId="0" applyNumberFormat="1" applyFont="1" applyFill="1" applyBorder="1" applyAlignment="1">
      <alignment vertical="top" shrinkToFit="1"/>
    </xf>
    <xf numFmtId="38" fontId="50" fillId="11" borderId="59" xfId="0" applyNumberFormat="1" applyFont="1" applyFill="1" applyBorder="1" applyAlignment="1">
      <alignment vertical="top" shrinkToFit="1"/>
    </xf>
    <xf numFmtId="0" fontId="50" fillId="0" borderId="51" xfId="0" applyFont="1" applyBorder="1" applyAlignment="1" applyProtection="1">
      <alignment vertical="top" shrinkToFit="1"/>
      <protection locked="0"/>
    </xf>
    <xf numFmtId="38" fontId="50" fillId="0" borderId="51" xfId="0" applyNumberFormat="1" applyFont="1" applyBorder="1" applyAlignment="1" applyProtection="1">
      <alignment horizontal="center" vertical="top" shrinkToFit="1"/>
      <protection locked="0"/>
    </xf>
    <xf numFmtId="38" fontId="50" fillId="0" borderId="51" xfId="0" applyNumberFormat="1" applyFont="1" applyBorder="1" applyAlignment="1">
      <alignment horizontal="center" vertical="top" shrinkToFit="1"/>
    </xf>
    <xf numFmtId="0" fontId="50" fillId="0" borderId="57" xfId="0" applyFont="1" applyBorder="1" applyAlignment="1">
      <alignment horizontal="center" vertical="top" shrinkToFit="1"/>
    </xf>
    <xf numFmtId="173" fontId="50" fillId="0" borderId="57" xfId="0" applyNumberFormat="1" applyFont="1" applyBorder="1" applyAlignment="1">
      <alignment vertical="top" shrinkToFit="1"/>
    </xf>
    <xf numFmtId="0" fontId="50" fillId="0" borderId="21" xfId="0" applyFont="1" applyBorder="1"/>
    <xf numFmtId="0" fontId="50" fillId="0" borderId="49" xfId="0" applyFont="1" applyBorder="1"/>
    <xf numFmtId="38" fontId="50" fillId="11" borderId="60" xfId="0" applyNumberFormat="1" applyFont="1" applyFill="1" applyBorder="1" applyAlignment="1">
      <alignment vertical="top" shrinkToFit="1"/>
    </xf>
    <xf numFmtId="0" fontId="50" fillId="0" borderId="48" xfId="0" applyFont="1" applyBorder="1" applyAlignment="1">
      <alignment horizontal="center" vertical="top" shrinkToFit="1"/>
    </xf>
    <xf numFmtId="0" fontId="50" fillId="4" borderId="26" xfId="0" applyFont="1" applyFill="1" applyBorder="1" applyAlignment="1" applyProtection="1">
      <alignment horizontal="center" vertical="top" shrinkToFit="1"/>
      <protection locked="0"/>
    </xf>
    <xf numFmtId="38" fontId="50" fillId="0" borderId="51" xfId="0" applyNumberFormat="1" applyFont="1" applyBorder="1" applyAlignment="1">
      <alignment vertical="top" shrinkToFit="1"/>
    </xf>
    <xf numFmtId="0" fontId="50" fillId="11" borderId="46" xfId="0" quotePrefix="1" applyFont="1" applyFill="1" applyBorder="1" applyAlignment="1">
      <alignment horizontal="center" vertical="top" shrinkToFit="1"/>
    </xf>
    <xf numFmtId="0" fontId="56" fillId="11" borderId="29" xfId="0" applyFont="1" applyFill="1" applyBorder="1" applyAlignment="1">
      <alignment vertical="top" shrinkToFit="1"/>
    </xf>
    <xf numFmtId="38" fontId="56" fillId="11" borderId="26" xfId="0" applyNumberFormat="1" applyFont="1" applyFill="1" applyBorder="1" applyAlignment="1">
      <alignment vertical="top" shrinkToFit="1"/>
    </xf>
    <xf numFmtId="0" fontId="50" fillId="0" borderId="9" xfId="0" applyFont="1" applyBorder="1" applyAlignment="1" applyProtection="1">
      <alignment vertical="top" shrinkToFit="1"/>
      <protection locked="0"/>
    </xf>
    <xf numFmtId="0" fontId="50" fillId="0" borderId="15" xfId="0" applyFont="1" applyBorder="1" applyAlignment="1" applyProtection="1">
      <alignment vertical="top" shrinkToFit="1"/>
      <protection locked="0"/>
    </xf>
    <xf numFmtId="0" fontId="50" fillId="0" borderId="11" xfId="0" applyFont="1" applyBorder="1" applyAlignment="1" applyProtection="1">
      <alignment horizontal="center" vertical="top" shrinkToFit="1"/>
      <protection locked="0"/>
    </xf>
    <xf numFmtId="38" fontId="50" fillId="0" borderId="9" xfId="0" applyNumberFormat="1" applyFont="1" applyBorder="1" applyAlignment="1" applyProtection="1">
      <alignment vertical="top" shrinkToFit="1"/>
      <protection locked="0"/>
    </xf>
    <xf numFmtId="38" fontId="50" fillId="0" borderId="9" xfId="0" applyNumberFormat="1" applyFont="1" applyBorder="1" applyAlignment="1">
      <alignment vertical="top" shrinkToFit="1"/>
    </xf>
    <xf numFmtId="173" fontId="50" fillId="0" borderId="10" xfId="0" applyNumberFormat="1" applyFont="1" applyBorder="1" applyAlignment="1">
      <alignment vertical="top" shrinkToFit="1"/>
    </xf>
    <xf numFmtId="0" fontId="50" fillId="0" borderId="12" xfId="0" applyFont="1" applyBorder="1" applyAlignment="1">
      <alignment horizontal="center" vertical="top" shrinkToFit="1"/>
    </xf>
    <xf numFmtId="38" fontId="50" fillId="0" borderId="9" xfId="0" applyNumberFormat="1" applyFont="1" applyBorder="1" applyAlignment="1">
      <alignment horizontal="center" vertical="top" shrinkToFit="1"/>
    </xf>
    <xf numFmtId="173" fontId="50" fillId="0" borderId="12" xfId="0" applyNumberFormat="1" applyFont="1" applyBorder="1" applyAlignment="1">
      <alignment vertical="top" shrinkToFit="1"/>
    </xf>
    <xf numFmtId="0" fontId="50" fillId="0" borderId="12" xfId="0" applyFont="1" applyBorder="1" applyAlignment="1">
      <alignment vertical="top" shrinkToFit="1"/>
    </xf>
    <xf numFmtId="0" fontId="50" fillId="0" borderId="9" xfId="0" applyFont="1" applyBorder="1" applyAlignment="1" applyProtection="1">
      <alignment horizontal="center" vertical="top" shrinkToFit="1"/>
      <protection locked="0"/>
    </xf>
    <xf numFmtId="0" fontId="50" fillId="0" borderId="11" xfId="0" applyFont="1" applyBorder="1" applyAlignment="1" applyProtection="1">
      <alignment horizontal="right" vertical="top" shrinkToFit="1"/>
      <protection locked="0"/>
    </xf>
    <xf numFmtId="0" fontId="21" fillId="11" borderId="8" xfId="0" applyFont="1" applyFill="1" applyBorder="1" applyAlignment="1">
      <alignment horizontal="center" vertical="center"/>
    </xf>
    <xf numFmtId="173" fontId="21" fillId="11" borderId="9" xfId="0" applyNumberFormat="1" applyFont="1" applyFill="1" applyBorder="1" applyAlignment="1">
      <alignment vertical="center"/>
    </xf>
    <xf numFmtId="0" fontId="21" fillId="12" borderId="9" xfId="0" applyFont="1" applyFill="1" applyBorder="1" applyAlignment="1">
      <alignment vertical="center" shrinkToFit="1"/>
    </xf>
    <xf numFmtId="0" fontId="21" fillId="12" borderId="9" xfId="0" applyFont="1" applyFill="1" applyBorder="1" applyAlignment="1">
      <alignment horizontal="center" vertical="center"/>
    </xf>
    <xf numFmtId="0" fontId="21" fillId="12" borderId="13" xfId="0" applyFont="1" applyFill="1" applyBorder="1" applyAlignment="1">
      <alignment vertical="center"/>
    </xf>
    <xf numFmtId="38" fontId="59" fillId="0" borderId="25" xfId="0" applyNumberFormat="1" applyFont="1" applyBorder="1" applyAlignment="1" applyProtection="1">
      <alignment vertical="center" shrinkToFit="1"/>
      <protection locked="0"/>
    </xf>
    <xf numFmtId="38" fontId="50" fillId="2" borderId="25" xfId="0" applyNumberFormat="1" applyFont="1" applyFill="1" applyBorder="1" applyAlignment="1" applyProtection="1">
      <alignment vertical="center" shrinkToFit="1"/>
      <protection locked="0"/>
    </xf>
    <xf numFmtId="0" fontId="50" fillId="2" borderId="25" xfId="0" applyFont="1" applyFill="1" applyBorder="1" applyAlignment="1" applyProtection="1">
      <alignment horizontal="left" vertical="center" shrinkToFit="1"/>
      <protection locked="0"/>
    </xf>
    <xf numFmtId="38" fontId="50" fillId="2" borderId="25" xfId="0" applyNumberFormat="1" applyFont="1" applyFill="1" applyBorder="1" applyAlignment="1" applyProtection="1">
      <alignment horizontal="center" vertical="center" shrinkToFit="1"/>
      <protection locked="0"/>
    </xf>
    <xf numFmtId="38" fontId="50" fillId="2" borderId="25" xfId="0" applyNumberFormat="1" applyFont="1" applyFill="1" applyBorder="1" applyAlignment="1" applyProtection="1">
      <alignment horizontal="center" vertical="top" shrinkToFit="1"/>
      <protection locked="0"/>
    </xf>
    <xf numFmtId="38" fontId="64" fillId="13" borderId="25" xfId="0" applyNumberFormat="1" applyFont="1" applyFill="1" applyBorder="1" applyAlignment="1">
      <alignment vertical="top" wrapText="1" shrinkToFit="1"/>
    </xf>
    <xf numFmtId="38" fontId="64" fillId="13" borderId="38" xfId="0" applyNumberFormat="1" applyFont="1" applyFill="1" applyBorder="1" applyAlignment="1">
      <alignment vertical="top" wrapText="1" shrinkToFit="1"/>
    </xf>
    <xf numFmtId="0" fontId="64" fillId="13" borderId="25" xfId="0" applyFont="1" applyFill="1" applyBorder="1" applyAlignment="1" applyProtection="1">
      <alignment vertical="top" wrapText="1" shrinkToFit="1"/>
      <protection locked="0"/>
    </xf>
    <xf numFmtId="0" fontId="64" fillId="13" borderId="25" xfId="0" applyFont="1" applyFill="1" applyBorder="1" applyAlignment="1" applyProtection="1">
      <alignment vertical="top" shrinkToFit="1"/>
      <protection locked="0"/>
    </xf>
    <xf numFmtId="0" fontId="50" fillId="0" borderId="0" xfId="0" applyFont="1" applyAlignment="1" applyProtection="1">
      <alignment horizontal="left" vertical="top" shrinkToFit="1"/>
      <protection locked="0"/>
    </xf>
    <xf numFmtId="38" fontId="50" fillId="11" borderId="8" xfId="1" applyFont="1" applyFill="1" applyBorder="1" applyAlignment="1">
      <alignment horizontal="center" vertical="top" shrinkToFit="1"/>
    </xf>
    <xf numFmtId="38" fontId="50" fillId="4" borderId="11" xfId="1" applyFont="1" applyFill="1" applyBorder="1" applyAlignment="1">
      <alignment horizontal="center" vertical="top" shrinkToFit="1"/>
    </xf>
    <xf numFmtId="38" fontId="50" fillId="4" borderId="13" xfId="1" applyFont="1" applyFill="1" applyBorder="1" applyAlignment="1">
      <alignment horizontal="center" vertical="top" shrinkToFit="1"/>
    </xf>
    <xf numFmtId="38" fontId="50" fillId="4" borderId="9" xfId="1" applyFont="1" applyFill="1" applyBorder="1" applyAlignment="1">
      <alignment vertical="top" shrinkToFit="1"/>
    </xf>
    <xf numFmtId="38" fontId="50" fillId="0" borderId="0" xfId="1" applyFont="1" applyFill="1" applyBorder="1" applyAlignment="1">
      <alignment horizontal="left" vertical="top" shrinkToFit="1"/>
    </xf>
    <xf numFmtId="38" fontId="50" fillId="11" borderId="58" xfId="0" applyNumberFormat="1" applyFont="1" applyFill="1" applyBorder="1" applyAlignment="1">
      <alignment horizontal="center" vertical="top" shrinkToFit="1"/>
    </xf>
    <xf numFmtId="0" fontId="50" fillId="0" borderId="57" xfId="0" applyFont="1" applyBorder="1" applyAlignment="1">
      <alignment vertical="top" shrinkToFit="1"/>
    </xf>
    <xf numFmtId="0" fontId="55" fillId="0" borderId="39" xfId="0" applyFont="1" applyBorder="1" applyAlignment="1">
      <alignment vertical="top" shrinkToFit="1"/>
    </xf>
    <xf numFmtId="38" fontId="55" fillId="0" borderId="25" xfId="0" applyNumberFormat="1" applyFont="1" applyBorder="1" applyAlignment="1">
      <alignment horizontal="center" vertical="top" shrinkToFit="1"/>
    </xf>
    <xf numFmtId="173" fontId="55" fillId="0" borderId="39" xfId="0" applyNumberFormat="1" applyFont="1" applyBorder="1" applyAlignment="1">
      <alignment vertical="top" shrinkToFit="1"/>
    </xf>
    <xf numFmtId="38" fontId="50" fillId="11" borderId="36" xfId="0" applyNumberFormat="1" applyFont="1" applyFill="1" applyBorder="1" applyAlignment="1">
      <alignment horizontal="center" vertical="center" shrinkToFit="1"/>
    </xf>
    <xf numFmtId="38" fontId="52" fillId="11" borderId="36" xfId="0" applyNumberFormat="1" applyFont="1" applyFill="1" applyBorder="1" applyAlignment="1">
      <alignment horizontal="center" vertical="top" shrinkToFit="1"/>
    </xf>
    <xf numFmtId="38" fontId="50" fillId="11" borderId="40" xfId="0" applyNumberFormat="1" applyFont="1" applyFill="1" applyBorder="1" applyAlignment="1">
      <alignment horizontal="center" vertical="top" shrinkToFit="1"/>
    </xf>
    <xf numFmtId="0" fontId="50" fillId="11" borderId="15" xfId="0" quotePrefix="1" applyFont="1" applyFill="1" applyBorder="1" applyAlignment="1">
      <alignment horizontal="center" vertical="top" shrinkToFit="1"/>
    </xf>
    <xf numFmtId="0" fontId="56" fillId="11" borderId="10" xfId="0" applyFont="1" applyFill="1" applyBorder="1" applyAlignment="1">
      <alignment vertical="top" shrinkToFit="1"/>
    </xf>
    <xf numFmtId="38" fontId="56" fillId="11" borderId="9" xfId="0" applyNumberFormat="1" applyFont="1" applyFill="1" applyBorder="1" applyAlignment="1">
      <alignment vertical="top" shrinkToFit="1"/>
    </xf>
    <xf numFmtId="38" fontId="50" fillId="11" borderId="15" xfId="0" applyNumberFormat="1" applyFont="1" applyFill="1" applyBorder="1" applyAlignment="1">
      <alignment vertical="top" shrinkToFit="1"/>
    </xf>
    <xf numFmtId="38" fontId="50" fillId="11" borderId="10" xfId="0" applyNumberFormat="1" applyFont="1" applyFill="1" applyBorder="1" applyAlignment="1">
      <alignment horizontal="center" vertical="top" shrinkToFit="1"/>
    </xf>
    <xf numFmtId="0" fontId="50" fillId="4" borderId="11" xfId="0" applyFont="1" applyFill="1" applyBorder="1" applyAlignment="1" applyProtection="1">
      <alignment horizontal="center" vertical="top" shrinkToFit="1"/>
      <protection locked="0"/>
    </xf>
    <xf numFmtId="0" fontId="50" fillId="4" borderId="13" xfId="0" applyFont="1" applyFill="1" applyBorder="1" applyAlignment="1" applyProtection="1">
      <alignment horizontal="center" vertical="top" shrinkToFit="1"/>
      <protection locked="0"/>
    </xf>
    <xf numFmtId="38" fontId="50" fillId="4" borderId="9" xfId="0" applyNumberFormat="1" applyFont="1" applyFill="1" applyBorder="1" applyAlignment="1" applyProtection="1">
      <alignment horizontal="center" vertical="top" shrinkToFit="1"/>
      <protection locked="0"/>
    </xf>
    <xf numFmtId="0" fontId="50" fillId="4" borderId="9" xfId="0" applyFont="1" applyFill="1" applyBorder="1" applyAlignment="1" applyProtection="1">
      <alignment horizontal="right" vertical="top" shrinkToFit="1"/>
      <protection locked="0"/>
    </xf>
    <xf numFmtId="0" fontId="56" fillId="11" borderId="53" xfId="0" quotePrefix="1" applyFont="1" applyFill="1" applyBorder="1" applyAlignment="1">
      <alignment horizontal="center" vertical="top" shrinkToFit="1"/>
    </xf>
    <xf numFmtId="38" fontId="61" fillId="11" borderId="53" xfId="0" applyNumberFormat="1" applyFont="1" applyFill="1" applyBorder="1" applyAlignment="1">
      <alignment horizontal="center" vertical="top" shrinkToFit="1"/>
    </xf>
    <xf numFmtId="38" fontId="50" fillId="11" borderId="34" xfId="0" applyNumberFormat="1" applyFont="1" applyFill="1" applyBorder="1" applyAlignment="1">
      <alignment horizontal="center" vertical="top" wrapText="1" shrinkToFit="1"/>
    </xf>
    <xf numFmtId="38" fontId="50" fillId="0" borderId="25" xfId="0" applyNumberFormat="1" applyFont="1" applyBorder="1" applyAlignment="1">
      <alignment vertical="top" wrapText="1" shrinkToFit="1"/>
    </xf>
    <xf numFmtId="0" fontId="50" fillId="0" borderId="39" xfId="0" applyFont="1" applyBorder="1" applyAlignment="1">
      <alignment horizontal="center" vertical="top" wrapText="1" shrinkToFit="1"/>
    </xf>
    <xf numFmtId="38" fontId="50" fillId="0" borderId="25" xfId="0" applyNumberFormat="1" applyFont="1" applyBorder="1" applyAlignment="1">
      <alignment horizontal="center" vertical="top" wrapText="1" shrinkToFit="1"/>
    </xf>
    <xf numFmtId="173" fontId="50" fillId="0" borderId="39" xfId="0" applyNumberFormat="1" applyFont="1" applyBorder="1" applyAlignment="1">
      <alignment vertical="top" wrapText="1" shrinkToFit="1"/>
    </xf>
    <xf numFmtId="0" fontId="50" fillId="0" borderId="39" xfId="0" applyFont="1" applyBorder="1" applyAlignment="1">
      <alignment vertical="top" wrapText="1" shrinkToFit="1"/>
    </xf>
    <xf numFmtId="38" fontId="59" fillId="0" borderId="25" xfId="0" applyNumberFormat="1" applyFont="1" applyBorder="1" applyAlignment="1" applyProtection="1">
      <alignment vertical="top" wrapText="1" shrinkToFit="1"/>
      <protection locked="0"/>
    </xf>
    <xf numFmtId="38" fontId="50" fillId="11" borderId="34" xfId="0" applyNumberFormat="1" applyFont="1" applyFill="1" applyBorder="1" applyAlignment="1">
      <alignment horizontal="center" vertical="center" shrinkToFit="1"/>
    </xf>
    <xf numFmtId="38" fontId="50" fillId="0" borderId="25" xfId="0" applyNumberFormat="1" applyFont="1" applyBorder="1" applyAlignment="1">
      <alignment horizontal="center" vertical="center" shrinkToFit="1"/>
    </xf>
    <xf numFmtId="0" fontId="50" fillId="0" borderId="39" xfId="0" applyFont="1" applyBorder="1" applyAlignment="1">
      <alignment horizontal="center" vertical="center" shrinkToFit="1"/>
    </xf>
    <xf numFmtId="173" fontId="50" fillId="0" borderId="39" xfId="0" applyNumberFormat="1" applyFont="1" applyBorder="1" applyAlignment="1">
      <alignment horizontal="center" vertical="center" shrinkToFit="1"/>
    </xf>
    <xf numFmtId="173" fontId="21" fillId="11" borderId="9" xfId="0" applyNumberFormat="1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vertical="center" shrinkToFit="1"/>
    </xf>
    <xf numFmtId="38" fontId="21" fillId="4" borderId="9" xfId="1" applyFont="1" applyFill="1" applyBorder="1" applyAlignment="1">
      <alignment vertical="center"/>
    </xf>
    <xf numFmtId="38" fontId="56" fillId="0" borderId="9" xfId="1" applyFont="1" applyFill="1" applyBorder="1" applyAlignment="1">
      <alignment vertical="center"/>
    </xf>
    <xf numFmtId="38" fontId="21" fillId="0" borderId="9" xfId="1" applyFont="1" applyFill="1" applyBorder="1" applyAlignment="1">
      <alignment vertical="center"/>
    </xf>
    <xf numFmtId="0" fontId="21" fillId="4" borderId="9" xfId="0" applyFont="1" applyFill="1" applyBorder="1" applyAlignment="1">
      <alignment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38" fontId="50" fillId="4" borderId="36" xfId="0" applyNumberFormat="1" applyFont="1" applyFill="1" applyBorder="1" applyAlignment="1" applyProtection="1">
      <alignment horizontal="center" vertical="top" shrinkToFit="1"/>
      <protection locked="0"/>
    </xf>
    <xf numFmtId="38" fontId="52" fillId="4" borderId="36" xfId="0" applyNumberFormat="1" applyFont="1" applyFill="1" applyBorder="1" applyAlignment="1" applyProtection="1">
      <alignment horizontal="center" vertical="top" shrinkToFit="1"/>
      <protection locked="0"/>
    </xf>
    <xf numFmtId="38" fontId="50" fillId="0" borderId="25" xfId="0" applyNumberFormat="1" applyFont="1" applyBorder="1" applyAlignment="1" applyProtection="1">
      <alignment horizontal="center" vertical="top" wrapText="1" shrinkToFit="1"/>
      <protection locked="0"/>
    </xf>
    <xf numFmtId="38" fontId="50" fillId="0" borderId="25" xfId="0" applyNumberFormat="1" applyFont="1" applyBorder="1" applyAlignment="1" applyProtection="1">
      <alignment horizontal="center" vertical="center" shrinkToFit="1"/>
      <protection locked="0"/>
    </xf>
    <xf numFmtId="38" fontId="50" fillId="2" borderId="25" xfId="0" applyNumberFormat="1" applyFont="1" applyFill="1" applyBorder="1" applyAlignment="1" applyProtection="1">
      <alignment horizontal="center" vertical="top" wrapText="1" shrinkToFit="1"/>
      <protection locked="0"/>
    </xf>
    <xf numFmtId="0" fontId="50" fillId="2" borderId="25" xfId="0" applyFont="1" applyFill="1" applyBorder="1" applyAlignment="1" applyProtection="1">
      <alignment vertical="top" wrapText="1" shrinkToFit="1"/>
      <protection locked="0"/>
    </xf>
    <xf numFmtId="0" fontId="65" fillId="0" borderId="25" xfId="0" applyFont="1" applyBorder="1" applyAlignment="1" applyProtection="1">
      <alignment vertical="top" shrinkToFit="1"/>
      <protection locked="0"/>
    </xf>
    <xf numFmtId="0" fontId="53" fillId="11" borderId="25" xfId="0" applyFont="1" applyFill="1" applyBorder="1" applyAlignment="1">
      <alignment vertical="top" shrinkToFit="1"/>
    </xf>
    <xf numFmtId="0" fontId="50" fillId="2" borderId="25" xfId="0" applyFont="1" applyFill="1" applyBorder="1" applyAlignment="1" applyProtection="1">
      <alignment horizontal="right" vertical="top" wrapText="1" shrinkToFit="1"/>
      <protection locked="0"/>
    </xf>
    <xf numFmtId="0" fontId="50" fillId="2" borderId="25" xfId="0" applyFont="1" applyFill="1" applyBorder="1" applyAlignment="1" applyProtection="1">
      <alignment vertical="center" shrinkToFit="1"/>
      <protection locked="0"/>
    </xf>
    <xf numFmtId="38" fontId="59" fillId="2" borderId="25" xfId="0" applyNumberFormat="1" applyFont="1" applyFill="1" applyBorder="1" applyAlignment="1" applyProtection="1">
      <alignment vertical="center" shrinkToFit="1"/>
      <protection locked="0"/>
    </xf>
    <xf numFmtId="38" fontId="59" fillId="2" borderId="25" xfId="0" applyNumberFormat="1" applyFont="1" applyFill="1" applyBorder="1" applyAlignment="1" applyProtection="1">
      <alignment vertical="top" wrapText="1" shrinkToFit="1"/>
      <protection locked="0"/>
    </xf>
    <xf numFmtId="0" fontId="64" fillId="0" borderId="0" xfId="0" applyFont="1" applyAlignment="1" applyProtection="1">
      <alignment vertical="top" wrapText="1" shrinkToFit="1"/>
      <protection locked="0"/>
    </xf>
    <xf numFmtId="0" fontId="62" fillId="0" borderId="0" xfId="0" applyFont="1" applyAlignment="1">
      <alignment shrinkToFit="1"/>
    </xf>
    <xf numFmtId="38" fontId="50" fillId="4" borderId="25" xfId="0" applyNumberFormat="1" applyFont="1" applyFill="1" applyBorder="1" applyAlignment="1">
      <alignment vertical="top" shrinkToFit="1"/>
    </xf>
    <xf numFmtId="38" fontId="64" fillId="13" borderId="25" xfId="0" applyNumberFormat="1" applyFont="1" applyFill="1" applyBorder="1" applyAlignment="1">
      <alignment vertical="top" shrinkToFit="1"/>
    </xf>
    <xf numFmtId="0" fontId="50" fillId="0" borderId="24" xfId="0" applyFont="1" applyBorder="1" applyAlignment="1">
      <alignment horizontal="center"/>
    </xf>
    <xf numFmtId="0" fontId="50" fillId="0" borderId="0" xfId="0" applyFont="1" applyAlignment="1">
      <alignment vertical="center"/>
    </xf>
    <xf numFmtId="0" fontId="50" fillId="0" borderId="0" xfId="0" applyFont="1" applyAlignment="1">
      <alignment vertical="center" shrinkToFit="1"/>
    </xf>
    <xf numFmtId="0" fontId="50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center" vertical="center" wrapText="1"/>
    </xf>
    <xf numFmtId="0" fontId="50" fillId="4" borderId="0" xfId="0" applyFont="1" applyFill="1" applyAlignment="1" applyProtection="1">
      <alignment horizontal="right" vertical="top" shrinkToFit="1"/>
      <protection locked="0"/>
    </xf>
    <xf numFmtId="0" fontId="55" fillId="4" borderId="0" xfId="0" applyFont="1" applyFill="1" applyAlignment="1" applyProtection="1">
      <alignment horizontal="right" vertical="top" shrinkToFit="1"/>
      <protection locked="0"/>
    </xf>
    <xf numFmtId="0" fontId="50" fillId="10" borderId="0" xfId="0" applyFont="1" applyFill="1" applyAlignment="1" applyProtection="1">
      <alignment horizontal="right" vertical="top" shrinkToFit="1"/>
      <protection locked="0"/>
    </xf>
    <xf numFmtId="38" fontId="50" fillId="0" borderId="0" xfId="1" applyFont="1" applyFill="1" applyBorder="1" applyAlignment="1">
      <alignment vertical="top" shrinkToFit="1"/>
    </xf>
    <xf numFmtId="0" fontId="50" fillId="0" borderId="0" xfId="0" applyFont="1" applyAlignment="1" applyProtection="1">
      <alignment horizontal="right" vertical="top" shrinkToFit="1"/>
      <protection locked="0"/>
    </xf>
    <xf numFmtId="0" fontId="50" fillId="4" borderId="0" xfId="0" applyFont="1" applyFill="1" applyAlignment="1" applyProtection="1">
      <alignment horizontal="right" vertical="top" wrapText="1" shrinkToFit="1"/>
      <protection locked="0"/>
    </xf>
    <xf numFmtId="0" fontId="21" fillId="12" borderId="0" xfId="0" applyFont="1" applyFill="1" applyAlignment="1">
      <alignment vertical="center"/>
    </xf>
    <xf numFmtId="0" fontId="50" fillId="2" borderId="25" xfId="0" applyFont="1" applyFill="1" applyBorder="1" applyAlignment="1" applyProtection="1">
      <alignment horizontal="right" vertical="top" shrinkToFit="1"/>
      <protection locked="0"/>
    </xf>
    <xf numFmtId="0" fontId="65" fillId="0" borderId="25" xfId="0" applyFont="1" applyBorder="1" applyAlignment="1" applyProtection="1">
      <alignment horizontal="left" vertical="center" shrinkToFit="1"/>
      <protection locked="0"/>
    </xf>
    <xf numFmtId="38" fontId="64" fillId="0" borderId="0" xfId="1" applyFont="1" applyFill="1" applyAlignment="1"/>
    <xf numFmtId="0" fontId="64" fillId="13" borderId="25" xfId="0" applyFont="1" applyFill="1" applyBorder="1" applyAlignment="1" applyProtection="1">
      <alignment vertical="center" shrinkToFit="1"/>
      <protection locked="0"/>
    </xf>
    <xf numFmtId="0" fontId="64" fillId="13" borderId="1" xfId="0" applyFont="1" applyFill="1" applyBorder="1" applyAlignment="1" applyProtection="1">
      <alignment vertical="top" shrinkToFit="1"/>
      <protection locked="0"/>
    </xf>
    <xf numFmtId="38" fontId="50" fillId="0" borderId="0" xfId="1" applyFont="1" applyFill="1" applyBorder="1" applyAlignment="1">
      <alignment vertical="center"/>
    </xf>
    <xf numFmtId="38" fontId="64" fillId="0" borderId="0" xfId="0" applyNumberFormat="1" applyFont="1" applyAlignment="1" applyProtection="1">
      <alignment horizontal="right" vertical="top" shrinkToFit="1"/>
      <protection locked="0"/>
    </xf>
    <xf numFmtId="38" fontId="64" fillId="0" borderId="0" xfId="1" applyFont="1" applyFill="1" applyBorder="1" applyAlignment="1"/>
    <xf numFmtId="1" fontId="59" fillId="0" borderId="0" xfId="0" applyNumberFormat="1" applyFont="1" applyAlignment="1" applyProtection="1">
      <alignment shrinkToFit="1"/>
      <protection locked="0"/>
    </xf>
    <xf numFmtId="38" fontId="60" fillId="0" borderId="0" xfId="1" applyFont="1" applyFill="1" applyBorder="1" applyAlignment="1">
      <alignment horizontal="right"/>
    </xf>
    <xf numFmtId="184" fontId="63" fillId="0" borderId="24" xfId="407" applyNumberFormat="1" applyFont="1" applyFill="1" applyBorder="1" applyAlignment="1"/>
    <xf numFmtId="184" fontId="50" fillId="14" borderId="24" xfId="407" applyNumberFormat="1" applyFont="1" applyFill="1" applyBorder="1" applyAlignment="1">
      <alignment vertical="center"/>
    </xf>
    <xf numFmtId="0" fontId="50" fillId="14" borderId="24" xfId="0" applyFont="1" applyFill="1" applyBorder="1" applyAlignment="1" applyProtection="1">
      <alignment vertical="center" shrinkToFit="1"/>
      <protection locked="0"/>
    </xf>
    <xf numFmtId="0" fontId="50" fillId="14" borderId="24" xfId="0" applyFont="1" applyFill="1" applyBorder="1" applyAlignment="1" applyProtection="1">
      <alignment vertical="top" shrinkToFit="1"/>
      <protection locked="0"/>
    </xf>
    <xf numFmtId="184" fontId="64" fillId="13" borderId="24" xfId="407" applyNumberFormat="1" applyFont="1" applyFill="1" applyBorder="1"/>
    <xf numFmtId="184" fontId="50" fillId="14" borderId="24" xfId="407" applyNumberFormat="1" applyFont="1" applyFill="1" applyBorder="1" applyAlignment="1"/>
    <xf numFmtId="0" fontId="50" fillId="14" borderId="25" xfId="0" applyFont="1" applyFill="1" applyBorder="1" applyAlignment="1" applyProtection="1">
      <alignment vertical="top" wrapText="1" shrinkToFit="1"/>
      <protection locked="0"/>
    </xf>
    <xf numFmtId="38" fontId="50" fillId="4" borderId="25" xfId="0" applyNumberFormat="1" applyFont="1" applyFill="1" applyBorder="1" applyAlignment="1" applyProtection="1">
      <alignment vertical="top" wrapText="1" shrinkToFit="1"/>
      <protection locked="0"/>
    </xf>
    <xf numFmtId="38" fontId="50" fillId="4" borderId="25" xfId="0" applyNumberFormat="1" applyFont="1" applyFill="1" applyBorder="1" applyAlignment="1">
      <alignment vertical="top" wrapText="1" shrinkToFit="1"/>
    </xf>
    <xf numFmtId="38" fontId="50" fillId="4" borderId="25" xfId="0" applyNumberFormat="1" applyFont="1" applyFill="1" applyBorder="1" applyAlignment="1" applyProtection="1">
      <alignment vertical="top" shrinkToFit="1"/>
      <protection locked="0"/>
    </xf>
    <xf numFmtId="38" fontId="59" fillId="4" borderId="25" xfId="0" applyNumberFormat="1" applyFont="1" applyFill="1" applyBorder="1" applyAlignment="1" applyProtection="1">
      <alignment vertical="top" wrapText="1" shrinkToFit="1"/>
      <protection locked="0"/>
    </xf>
    <xf numFmtId="38" fontId="64" fillId="13" borderId="47" xfId="0" applyNumberFormat="1" applyFont="1" applyFill="1" applyBorder="1" applyAlignment="1">
      <alignment horizontal="left" vertical="top" wrapText="1" shrinkToFit="1"/>
    </xf>
    <xf numFmtId="38" fontId="64" fillId="13" borderId="37" xfId="0" applyNumberFormat="1" applyFont="1" applyFill="1" applyBorder="1" applyAlignment="1">
      <alignment horizontal="left" vertical="top" wrapText="1" shrinkToFit="1"/>
    </xf>
    <xf numFmtId="0" fontId="50" fillId="0" borderId="18" xfId="0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/>
    </xf>
    <xf numFmtId="0" fontId="50" fillId="0" borderId="16" xfId="0" applyFont="1" applyBorder="1" applyAlignment="1">
      <alignment horizontal="center" vertical="center" wrapText="1"/>
    </xf>
    <xf numFmtId="0" fontId="50" fillId="0" borderId="26" xfId="0" applyFont="1" applyBorder="1" applyAlignment="1">
      <alignment horizontal="center" vertical="center" wrapText="1"/>
    </xf>
    <xf numFmtId="38" fontId="50" fillId="0" borderId="16" xfId="1" applyFont="1" applyFill="1" applyBorder="1" applyAlignment="1">
      <alignment horizontal="center" vertical="center"/>
    </xf>
    <xf numFmtId="38" fontId="50" fillId="0" borderId="26" xfId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 shrinkToFit="1"/>
    </xf>
    <xf numFmtId="0" fontId="50" fillId="0" borderId="26" xfId="0" applyFont="1" applyBorder="1" applyAlignment="1">
      <alignment horizontal="center" vertical="center" wrapText="1" shrinkToFit="1"/>
    </xf>
    <xf numFmtId="38" fontId="50" fillId="0" borderId="28" xfId="1" applyFont="1" applyFill="1" applyBorder="1" applyAlignment="1">
      <alignment horizontal="center" vertical="center" wrapText="1"/>
    </xf>
    <xf numFmtId="38" fontId="50" fillId="0" borderId="29" xfId="1" applyFont="1" applyFill="1" applyBorder="1" applyAlignment="1">
      <alignment horizontal="center" vertical="center" wrapText="1"/>
    </xf>
    <xf numFmtId="38" fontId="50" fillId="0" borderId="16" xfId="1" applyFont="1" applyFill="1" applyBorder="1" applyAlignment="1">
      <alignment horizontal="center" vertical="center" wrapText="1"/>
    </xf>
    <xf numFmtId="38" fontId="50" fillId="0" borderId="26" xfId="1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50" fillId="0" borderId="16" xfId="0" applyFont="1" applyBorder="1" applyAlignment="1">
      <alignment horizontal="center" vertical="center" wrapText="1" shrinkToFit="1"/>
    </xf>
    <xf numFmtId="0" fontId="50" fillId="0" borderId="17" xfId="0" applyFont="1" applyBorder="1" applyAlignment="1">
      <alignment horizontal="center" vertical="center" wrapText="1" shrinkToFit="1"/>
    </xf>
    <xf numFmtId="0" fontId="50" fillId="0" borderId="4" xfId="0" applyFont="1" applyBorder="1" applyAlignment="1">
      <alignment horizontal="center" vertical="center" wrapText="1" shrinkToFit="1"/>
    </xf>
    <xf numFmtId="0" fontId="50" fillId="0" borderId="30" xfId="0" applyFont="1" applyBorder="1" applyAlignment="1">
      <alignment horizontal="center" vertical="center" wrapText="1" shrinkToFit="1"/>
    </xf>
    <xf numFmtId="0" fontId="50" fillId="0" borderId="7" xfId="0" applyFont="1" applyBorder="1" applyAlignment="1">
      <alignment horizontal="center" vertical="center" shrinkToFit="1"/>
    </xf>
    <xf numFmtId="0" fontId="50" fillId="0" borderId="14" xfId="0" applyFont="1" applyBorder="1" applyAlignment="1">
      <alignment horizontal="center" vertical="center" shrinkToFit="1"/>
    </xf>
    <xf numFmtId="0" fontId="50" fillId="0" borderId="23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wrapText="1" shrinkToFit="1"/>
    </xf>
    <xf numFmtId="0" fontId="50" fillId="0" borderId="14" xfId="0" applyFont="1" applyBorder="1" applyAlignment="1">
      <alignment horizontal="center" vertical="center" wrapText="1" shrinkToFit="1"/>
    </xf>
    <xf numFmtId="0" fontId="50" fillId="0" borderId="6" xfId="0" applyFont="1" applyBorder="1" applyAlignment="1">
      <alignment horizontal="center" vertical="center" shrinkToFit="1"/>
    </xf>
    <xf numFmtId="38" fontId="50" fillId="0" borderId="1" xfId="1" applyFont="1" applyFill="1" applyBorder="1" applyAlignment="1">
      <alignment horizontal="center" vertical="center" wrapText="1"/>
    </xf>
    <xf numFmtId="0" fontId="50" fillId="0" borderId="0" xfId="0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0" fontId="50" fillId="0" borderId="18" xfId="0" applyFont="1" applyBorder="1" applyAlignment="1">
      <alignment horizontal="center" vertical="center" wrapText="1" shrinkToFit="1"/>
    </xf>
    <xf numFmtId="0" fontId="50" fillId="0" borderId="3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0" fontId="50" fillId="0" borderId="16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0" fillId="0" borderId="5" xfId="0" applyFont="1" applyBorder="1" applyAlignment="1">
      <alignment horizontal="center"/>
    </xf>
    <xf numFmtId="0" fontId="22" fillId="0" borderId="19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22" fillId="0" borderId="46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0" fontId="50" fillId="0" borderId="28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50" fillId="0" borderId="29" xfId="0" applyFont="1" applyBorder="1" applyAlignment="1">
      <alignment horizontal="center" vertical="center" wrapText="1"/>
    </xf>
    <xf numFmtId="173" fontId="50" fillId="0" borderId="16" xfId="0" applyNumberFormat="1" applyFont="1" applyBorder="1" applyAlignment="1">
      <alignment horizontal="center" vertical="center" wrapText="1"/>
    </xf>
    <xf numFmtId="173" fontId="50" fillId="0" borderId="5" xfId="0" applyNumberFormat="1" applyFont="1" applyBorder="1" applyAlignment="1">
      <alignment horizontal="center" vertical="center"/>
    </xf>
    <xf numFmtId="173" fontId="50" fillId="0" borderId="18" xfId="0" applyNumberFormat="1" applyFont="1" applyBorder="1" applyAlignment="1">
      <alignment horizontal="center" vertical="center" wrapText="1"/>
    </xf>
    <xf numFmtId="173" fontId="50" fillId="0" borderId="44" xfId="0" applyNumberFormat="1" applyFont="1" applyBorder="1" applyAlignment="1">
      <alignment horizontal="center" vertical="center"/>
    </xf>
    <xf numFmtId="173" fontId="50" fillId="0" borderId="28" xfId="0" applyNumberFormat="1" applyFont="1" applyBorder="1" applyAlignment="1">
      <alignment horizontal="center" vertical="center" wrapText="1"/>
    </xf>
    <xf numFmtId="173" fontId="50" fillId="0" borderId="32" xfId="0" applyNumberFormat="1" applyFont="1" applyBorder="1" applyAlignment="1">
      <alignment horizontal="center" vertical="center" wrapText="1"/>
    </xf>
    <xf numFmtId="173" fontId="50" fillId="0" borderId="29" xfId="0" applyNumberFormat="1" applyFont="1" applyBorder="1" applyAlignment="1">
      <alignment horizontal="center" vertical="center" wrapText="1"/>
    </xf>
    <xf numFmtId="0" fontId="50" fillId="0" borderId="16" xfId="0" applyFont="1" applyBorder="1" applyAlignment="1">
      <alignment horizontal="center" vertical="center" shrinkToFit="1"/>
    </xf>
    <xf numFmtId="0" fontId="50" fillId="0" borderId="1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/>
    </xf>
  </cellXfs>
  <cellStyles count="617">
    <cellStyle name="???????" xfId="50" xr:uid="{00000000-0005-0000-0000-000000000000}"/>
    <cellStyle name="????????????" xfId="51" xr:uid="{00000000-0005-0000-0000-000001000000}"/>
    <cellStyle name="???????????? Change1.5.1" xfId="52" xr:uid="{00000000-0005-0000-0000-000002000000}"/>
    <cellStyle name="????????????esolume 02A3" xfId="53" xr:uid="{00000000-0005-0000-0000-000003000000}"/>
    <cellStyle name="????????????ge Details1c" xfId="54" xr:uid="{00000000-0005-0000-0000-000004000000}"/>
    <cellStyle name="????????????le" xfId="55" xr:uid="{00000000-0005-0000-0000-000005000000}"/>
    <cellStyle name="???????_Dataer" xfId="56" xr:uid="{00000000-0005-0000-0000-000006000000}"/>
    <cellStyle name="???????usmixes" xfId="57" xr:uid="{00000000-0005-0000-0000-000007000000}"/>
    <cellStyle name="?????_?????" xfId="58" xr:uid="{00000000-0005-0000-0000-000008000000}"/>
    <cellStyle name="????_??? " xfId="59" xr:uid="{00000000-0005-0000-0000-000009000000}"/>
    <cellStyle name="???_????????aro" xfId="60" xr:uid="{00000000-0005-0000-0000-00000A000000}"/>
    <cellStyle name="??_??? (2)(2))t" xfId="61" xr:uid="{00000000-0005-0000-0000-00000B000000}"/>
    <cellStyle name="?\??・?????n?C?pー???“?N" xfId="62" xr:uid="{00000000-0005-0000-0000-00000C000000}"/>
    <cellStyle name="?·? [0]_????l" xfId="63" xr:uid="{00000000-0005-0000-0000-00000D000000}"/>
    <cellStyle name="?·?_???_?" xfId="64" xr:uid="{00000000-0005-0000-0000-00000E000000}"/>
    <cellStyle name="?n?C?pー???“?N" xfId="65" xr:uid="{00000000-0005-0000-0000-00000F000000}"/>
    <cellStyle name="?W・_Attach34_X61B_US_(2)" xfId="66" xr:uid="{00000000-0005-0000-0000-000010000000}"/>
    <cellStyle name="0뾍R_x0005_?뾍b_x0005_" xfId="152" xr:uid="{00000000-0005-0000-0000-000011000000}"/>
    <cellStyle name="AeE­ [0]_±a¾E " xfId="153" xr:uid="{00000000-0005-0000-0000-000012000000}"/>
    <cellStyle name="ÅëÈ­ [0]_INQUIRY ¿µ¾÷ÃßÁø " xfId="154" xr:uid="{00000000-0005-0000-0000-000013000000}"/>
    <cellStyle name="AeE­ [0]_INQUIRY ¿μ¾÷AßAø " xfId="155" xr:uid="{00000000-0005-0000-0000-000014000000}"/>
    <cellStyle name="AeE­_±a¾E " xfId="156" xr:uid="{00000000-0005-0000-0000-000015000000}"/>
    <cellStyle name="ÅëÈ­_INQUIRY ¿µ¾÷ÃßÁø " xfId="157" xr:uid="{00000000-0005-0000-0000-000016000000}"/>
    <cellStyle name="AeE­_INQUIRY ¿μ¾÷AßAø " xfId="158" xr:uid="{00000000-0005-0000-0000-000017000000}"/>
    <cellStyle name="AÞ¸¶ [0]_¿e¾i 3AIA¤ " xfId="159" xr:uid="{00000000-0005-0000-0000-000018000000}"/>
    <cellStyle name="ÄÞ¸¶ [0]_INQUIRY ¿µ¾÷ÃßÁø " xfId="160" xr:uid="{00000000-0005-0000-0000-000019000000}"/>
    <cellStyle name="AÞ¸¶ [0]_INQUIRY ¿μ¾÷AßAø " xfId="161" xr:uid="{00000000-0005-0000-0000-00001A000000}"/>
    <cellStyle name="AÞ¸¶_¿e¾i 3AIA¤ " xfId="162" xr:uid="{00000000-0005-0000-0000-00001B000000}"/>
    <cellStyle name="ÄÞ¸¶_INQUIRY ¿µ¾÷ÃßÁø " xfId="163" xr:uid="{00000000-0005-0000-0000-00001C000000}"/>
    <cellStyle name="AÞ¸¶_INQUIRY ¿μ¾÷AßAø " xfId="164" xr:uid="{00000000-0005-0000-0000-00001D000000}"/>
    <cellStyle name="Border1" xfId="67" xr:uid="{00000000-0005-0000-0000-00001E000000}"/>
    <cellStyle name="Border2" xfId="68" xr:uid="{00000000-0005-0000-0000-00001F000000}"/>
    <cellStyle name="Border3" xfId="69" xr:uid="{00000000-0005-0000-0000-000020000000}"/>
    <cellStyle name="C￥AØ_¿￢±¸¼O °ø≫cCoE² A¤ HEDULE " xfId="165" xr:uid="{00000000-0005-0000-0000-000021000000}"/>
    <cellStyle name="Ç¥ÁØ_¿µ¾÷ÇöÈ² " xfId="166" xr:uid="{00000000-0005-0000-0000-000022000000}"/>
    <cellStyle name="C￥AØ_¿μ¾÷CoE² " xfId="167" xr:uid="{00000000-0005-0000-0000-000023000000}"/>
    <cellStyle name="Ç¥ÁØ_»ç¾÷ºÎº° ÃÑ°è " xfId="168" xr:uid="{00000000-0005-0000-0000-000024000000}"/>
    <cellStyle name="C￥AØ_≫c¾÷ºIº° AN°e " xfId="169" xr:uid="{00000000-0005-0000-0000-000025000000}"/>
    <cellStyle name="Ç¥ÁØ_0N-HANDLING " xfId="170" xr:uid="{00000000-0005-0000-0000-000026000000}"/>
    <cellStyle name="C￥AØ_¼oAOCaA¤½A≫o " xfId="171" xr:uid="{00000000-0005-0000-0000-000027000000}"/>
    <cellStyle name="Ç¥ÁØ_5-1±¤°í " xfId="172" xr:uid="{00000000-0005-0000-0000-000028000000}"/>
    <cellStyle name="C￥AØ_Ay°eC￥(2¿u) " xfId="173" xr:uid="{00000000-0005-0000-0000-000029000000}"/>
    <cellStyle name="Ç¥ÁØ_Áý°èÇ¥(2¿ù) " xfId="174" xr:uid="{00000000-0005-0000-0000-00002A000000}"/>
    <cellStyle name="C￥AØ_CoAo¹yAI °A¾×¿ⓒ½A " xfId="175" xr:uid="{00000000-0005-0000-0000-00002B000000}"/>
    <cellStyle name="Ç¥ÁØ_Sheet1_¿µ¾÷ÇöÈ² " xfId="176" xr:uid="{00000000-0005-0000-0000-00002C000000}"/>
    <cellStyle name="C￥AØ_Sheet1_¿μ¾÷CoE² " xfId="177" xr:uid="{00000000-0005-0000-0000-00002D000000}"/>
    <cellStyle name="Ç¥ÁØ_Sheet1_0N-HANDLING " xfId="178" xr:uid="{00000000-0005-0000-0000-00002E000000}"/>
    <cellStyle name="C￥AØ_Sheet1_Ay°eC￥(2¿u) " xfId="179" xr:uid="{00000000-0005-0000-0000-00002F000000}"/>
    <cellStyle name="Ç¥ÁØ_Sheet1_Áý°èÇ¥(2¿ù) " xfId="180" xr:uid="{00000000-0005-0000-0000-000030000000}"/>
    <cellStyle name="Calc Currency (0)" xfId="70" xr:uid="{00000000-0005-0000-0000-000031000000}"/>
    <cellStyle name="Comma" xfId="407" builtinId="3"/>
    <cellStyle name="Comma  - Style1" xfId="71" xr:uid="{00000000-0005-0000-0000-000032000000}"/>
    <cellStyle name="Comma [0]" xfId="1" builtinId="6"/>
    <cellStyle name="Comma [0] 2" xfId="14" xr:uid="{00000000-0005-0000-0000-000034000000}"/>
    <cellStyle name="Comma [0] 2 2" xfId="181" xr:uid="{00000000-0005-0000-0000-000035000000}"/>
    <cellStyle name="Comma [0] 2 3" xfId="205" xr:uid="{00000000-0005-0000-0000-000036000000}"/>
    <cellStyle name="Comma [0] 3" xfId="72" xr:uid="{00000000-0005-0000-0000-000037000000}"/>
    <cellStyle name="Comma [0] 3 2" xfId="330" xr:uid="{7509B6F5-22AE-47E0-BB5F-3A18E4806423}"/>
    <cellStyle name="Comma [0] 3 2 2" xfId="539" xr:uid="{0C520FF0-45FE-4AFD-A257-4AEA589B8059}"/>
    <cellStyle name="Comma [0] 4" xfId="73" xr:uid="{00000000-0005-0000-0000-000038000000}"/>
    <cellStyle name="Comma [0] 4 2" xfId="331" xr:uid="{9C89D250-60EC-4A17-A84C-046A60B24700}"/>
    <cellStyle name="Comma [0] 4 2 2" xfId="540" xr:uid="{704C8DFF-ED2B-4D03-B47C-85B63AF14859}"/>
    <cellStyle name="Comma [0] 5" xfId="74" xr:uid="{00000000-0005-0000-0000-000039000000}"/>
    <cellStyle name="Comma [0] 6" xfId="151" xr:uid="{00000000-0005-0000-0000-00003A000000}"/>
    <cellStyle name="Comma 2" xfId="7" xr:uid="{00000000-0005-0000-0000-00003B000000}"/>
    <cellStyle name="Comma 2 2" xfId="15" xr:uid="{00000000-0005-0000-0000-00003C000000}"/>
    <cellStyle name="Comma 2 2 2" xfId="207" xr:uid="{00000000-0005-0000-0000-00003D000000}"/>
    <cellStyle name="Comma 2 2 2 2" xfId="277" xr:uid="{00000000-0005-0000-0000-00003E000000}"/>
    <cellStyle name="Comma 2 2 2 2 2" xfId="385" xr:uid="{18EE3369-016C-4A99-B5EB-73B451E9636E}"/>
    <cellStyle name="Comma 2 2 2 2 2 2" xfId="594" xr:uid="{EF474281-62C0-4228-A1F0-09F5AECE3E91}"/>
    <cellStyle name="Comma 2 2 2 2 3" xfId="487" xr:uid="{A0AE14DB-BEE4-4DDC-9F5B-7CCCC2BB33E0}"/>
    <cellStyle name="Comma 2 2 2 3" xfId="335" xr:uid="{B402B377-2C30-4932-ACFC-22163EBA8B79}"/>
    <cellStyle name="Comma 2 2 2 3 2" xfId="544" xr:uid="{EF5282C8-C8E7-4E29-A8F8-5A852FF6B3F6}"/>
    <cellStyle name="Comma 2 2 2 4" xfId="437" xr:uid="{46FBCD39-73F1-4FD2-AD37-BF18EF51E46D}"/>
    <cellStyle name="Comma 2 2 3" xfId="304" xr:uid="{F5C1A894-0314-46FC-9409-AFF046AD2A2F}"/>
    <cellStyle name="Comma 2 2 3 2" xfId="513" xr:uid="{42113869-1427-4AD5-9799-025E7C050153}"/>
    <cellStyle name="Comma 2 3" xfId="206" xr:uid="{00000000-0005-0000-0000-00003F000000}"/>
    <cellStyle name="Comma 2 3 2" xfId="276" xr:uid="{00000000-0005-0000-0000-000040000000}"/>
    <cellStyle name="Comma 2 3 2 2" xfId="384" xr:uid="{463195F6-A77D-4E5F-911E-720C29888475}"/>
    <cellStyle name="Comma 2 3 2 2 2" xfId="593" xr:uid="{717DEB3E-3DA0-421D-8138-EC814C48E6F3}"/>
    <cellStyle name="Comma 2 3 2 3" xfId="486" xr:uid="{55E9A88E-66F9-4CC3-BDE7-EFBF989CC842}"/>
    <cellStyle name="Comma 2 3 3" xfId="334" xr:uid="{A378AD96-9909-45AE-B004-F3E8ADFAB097}"/>
    <cellStyle name="Comma 2 3 3 2" xfId="543" xr:uid="{DFD12D65-8E6E-4D9B-9602-C20B565B2048}"/>
    <cellStyle name="Comma 2 3 4" xfId="436" xr:uid="{F4295BC7-F602-4B39-973B-3631D0F7E69F}"/>
    <cellStyle name="Comma 2 4" xfId="300" xr:uid="{FFD8E3E6-FC5D-47E8-B586-2D5D700E90B6}"/>
    <cellStyle name="Comma 2 4 2" xfId="509" xr:uid="{D4B7A119-C100-4E4F-918B-2A568A44900E}"/>
    <cellStyle name="Comma 3" xfId="9" xr:uid="{00000000-0005-0000-0000-000041000000}"/>
    <cellStyle name="Comma 3 2" xfId="25" xr:uid="{00000000-0005-0000-0000-000042000000}"/>
    <cellStyle name="Comma 3 2 2" xfId="35" xr:uid="{00000000-0005-0000-0000-000043000000}"/>
    <cellStyle name="Comma 3 2 2 2" xfId="261" xr:uid="{00000000-0005-0000-0000-000044000000}"/>
    <cellStyle name="Comma 3 2 2 2 2" xfId="369" xr:uid="{A9C7B3FE-14EB-421E-B7D6-7668062A79D0}"/>
    <cellStyle name="Comma 3 2 2 2 2 2" xfId="578" xr:uid="{F7387701-97F4-4790-99F8-DE6A45B66A22}"/>
    <cellStyle name="Comma 3 2 2 2 3" xfId="471" xr:uid="{F064C252-74DE-44AC-AAFF-8E8B19BE98A2}"/>
    <cellStyle name="Comma 3 2 2 3" xfId="315" xr:uid="{DFC628E0-9C2C-4470-A75A-9B0F06F9F84D}"/>
    <cellStyle name="Comma 3 2 2 3 2" xfId="524" xr:uid="{A423684F-CC08-4C0E-B062-35268D3E0903}"/>
    <cellStyle name="Comma 3 2 2 4" xfId="421" xr:uid="{56589D64-D15F-4B92-BD6E-DE9AC029BD5F}"/>
    <cellStyle name="Comma 3 2 3" xfId="209" xr:uid="{00000000-0005-0000-0000-000045000000}"/>
    <cellStyle name="Comma 3 2 3 2" xfId="279" xr:uid="{00000000-0005-0000-0000-000046000000}"/>
    <cellStyle name="Comma 3 2 3 2 2" xfId="387" xr:uid="{149FD152-A0A7-4F5C-9D0D-254D4528876D}"/>
    <cellStyle name="Comma 3 2 3 2 2 2" xfId="596" xr:uid="{F317FAA4-134D-4534-AF2A-5D9336BB8570}"/>
    <cellStyle name="Comma 3 2 3 2 3" xfId="489" xr:uid="{1016C822-5D07-4711-8197-B65D80D6FECF}"/>
    <cellStyle name="Comma 3 2 3 3" xfId="337" xr:uid="{45860CA5-BDD1-49DB-B1C5-7E1225124F35}"/>
    <cellStyle name="Comma 3 2 3 3 2" xfId="546" xr:uid="{09C583C8-F457-4B4E-A496-B719637256E4}"/>
    <cellStyle name="Comma 3 2 3 4" xfId="439" xr:uid="{E6D09D9A-2F78-4CC5-BF67-27C476CF9AAC}"/>
    <cellStyle name="Comma 3 2 4" xfId="252" xr:uid="{00000000-0005-0000-0000-000047000000}"/>
    <cellStyle name="Comma 3 2 4 2" xfId="360" xr:uid="{E17EF9EF-3011-4E04-BAB5-FF600D43FD88}"/>
    <cellStyle name="Comma 3 2 4 2 2" xfId="569" xr:uid="{88905A8B-F1E2-43A6-98DF-D8C001EAB287}"/>
    <cellStyle name="Comma 3 2 4 3" xfId="462" xr:uid="{E2DF4D17-20FB-474F-80BF-DDF077D6FD1C}"/>
    <cellStyle name="Comma 3 2 5" xfId="306" xr:uid="{7DBE93BD-5E76-4F0A-9010-75D058F625EA}"/>
    <cellStyle name="Comma 3 2 5 2" xfId="515" xr:uid="{48C04FF8-5EC1-4A6A-989F-E95E71011A00}"/>
    <cellStyle name="Comma 3 2 6" xfId="412" xr:uid="{795B9F5D-B9BB-426E-BEBC-AAFD0BECFE1D}"/>
    <cellStyle name="Comma 3 3" xfId="27" xr:uid="{00000000-0005-0000-0000-000048000000}"/>
    <cellStyle name="Comma 3 3 2" xfId="36" xr:uid="{00000000-0005-0000-0000-000049000000}"/>
    <cellStyle name="Comma 3 3 2 2" xfId="262" xr:uid="{00000000-0005-0000-0000-00004A000000}"/>
    <cellStyle name="Comma 3 3 2 2 2" xfId="370" xr:uid="{75B1877C-B85F-4F05-A50D-B1D655143221}"/>
    <cellStyle name="Comma 3 3 2 2 2 2" xfId="579" xr:uid="{654B03DE-42E8-47ED-B020-5B6F60CF43F0}"/>
    <cellStyle name="Comma 3 3 2 2 3" xfId="472" xr:uid="{F3244544-4FAD-45FE-9386-1C82A37B081D}"/>
    <cellStyle name="Comma 3 3 2 3" xfId="316" xr:uid="{383EC4D5-D48A-408B-BBD5-03F7D7D52CC8}"/>
    <cellStyle name="Comma 3 3 2 3 2" xfId="525" xr:uid="{AD5DC17C-B65C-4FEB-9FC1-CEFAB7C3015C}"/>
    <cellStyle name="Comma 3 3 2 4" xfId="422" xr:uid="{432FFFBD-1608-41E1-801B-B3457E0FC559}"/>
    <cellStyle name="Comma 3 3 3" xfId="254" xr:uid="{00000000-0005-0000-0000-00004B000000}"/>
    <cellStyle name="Comma 3 3 3 2" xfId="362" xr:uid="{8C08FD59-7144-4AEB-9A51-765831E4911C}"/>
    <cellStyle name="Comma 3 3 3 2 2" xfId="571" xr:uid="{6A88A757-CB92-4F32-B862-CB97C6263539}"/>
    <cellStyle name="Comma 3 3 3 3" xfId="464" xr:uid="{BB998ACE-AB81-4F69-9A8F-A05711F70A74}"/>
    <cellStyle name="Comma 3 3 4" xfId="308" xr:uid="{D9348F5D-2EDD-4192-A49C-BB5CE1C9D6B6}"/>
    <cellStyle name="Comma 3 3 4 2" xfId="517" xr:uid="{3C27BBC5-2E40-4FB1-B150-829C6D747A22}"/>
    <cellStyle name="Comma 3 3 5" xfId="414" xr:uid="{E6F14D06-83BD-401C-961C-A22BB3D2D8E8}"/>
    <cellStyle name="Comma 3 4" xfId="29" xr:uid="{00000000-0005-0000-0000-00004C000000}"/>
    <cellStyle name="Comma 3 4 2" xfId="37" xr:uid="{00000000-0005-0000-0000-00004D000000}"/>
    <cellStyle name="Comma 3 4 2 2" xfId="263" xr:uid="{00000000-0005-0000-0000-00004E000000}"/>
    <cellStyle name="Comma 3 4 2 2 2" xfId="371" xr:uid="{8A1402A6-DF1E-4C25-8B34-13D622EA18E8}"/>
    <cellStyle name="Comma 3 4 2 2 2 2" xfId="580" xr:uid="{4754248B-BD57-4469-90AE-E63710E0EBE3}"/>
    <cellStyle name="Comma 3 4 2 2 3" xfId="473" xr:uid="{4B8EF49A-5ED0-48A9-AA98-8E8DA95E6E45}"/>
    <cellStyle name="Comma 3 4 2 3" xfId="317" xr:uid="{17F8B93F-CAC9-4C22-9890-F6EC5377990C}"/>
    <cellStyle name="Comma 3 4 2 3 2" xfId="526" xr:uid="{D00B845B-70B6-42B1-A14F-6703E82B1B4E}"/>
    <cellStyle name="Comma 3 4 2 4" xfId="423" xr:uid="{70DC816A-274B-4A01-A0EF-5E65B2825A78}"/>
    <cellStyle name="Comma 3 4 3" xfId="256" xr:uid="{00000000-0005-0000-0000-00004F000000}"/>
    <cellStyle name="Comma 3 4 3 2" xfId="364" xr:uid="{8FC00B6A-7A97-4D18-9B3D-081D71856A08}"/>
    <cellStyle name="Comma 3 4 3 2 2" xfId="573" xr:uid="{C738E212-E1D1-4713-A120-BAE457A6E253}"/>
    <cellStyle name="Comma 3 4 3 3" xfId="466" xr:uid="{6ABC9CE0-540E-4099-9D02-C2E32C243C4D}"/>
    <cellStyle name="Comma 3 4 4" xfId="310" xr:uid="{B9BF03A6-4874-4AC8-A868-B9DCA6415CB1}"/>
    <cellStyle name="Comma 3 4 4 2" xfId="519" xr:uid="{EC3B309E-59B3-489D-8EB2-827E67DBF387}"/>
    <cellStyle name="Comma 3 4 5" xfId="416" xr:uid="{03199044-1E03-4353-97A3-56C209140A1B}"/>
    <cellStyle name="Comma 3 5" xfId="38" xr:uid="{00000000-0005-0000-0000-000050000000}"/>
    <cellStyle name="Comma 3 5 2" xfId="264" xr:uid="{00000000-0005-0000-0000-000051000000}"/>
    <cellStyle name="Comma 3 5 2 2" xfId="372" xr:uid="{FB33E010-29F4-41CE-8AF6-F02AB55BE5F7}"/>
    <cellStyle name="Comma 3 5 2 2 2" xfId="581" xr:uid="{4F2C6150-565D-4620-BEFC-28FD05D879F2}"/>
    <cellStyle name="Comma 3 5 2 3" xfId="474" xr:uid="{4B9E00B2-7C5F-44E9-AE11-3E309C1BBD66}"/>
    <cellStyle name="Comma 3 5 3" xfId="318" xr:uid="{B6E7A842-FA27-4973-ABC1-632A8B7AECC6}"/>
    <cellStyle name="Comma 3 5 3 2" xfId="527" xr:uid="{2335C2AE-BC1C-436A-A834-7F576FAE2FE9}"/>
    <cellStyle name="Comma 3 5 4" xfId="424" xr:uid="{D44FCC2C-8176-46E0-B3C2-F1C391200692}"/>
    <cellStyle name="Comma 3 6" xfId="208" xr:uid="{00000000-0005-0000-0000-000052000000}"/>
    <cellStyle name="Comma 3 6 2" xfId="278" xr:uid="{00000000-0005-0000-0000-000053000000}"/>
    <cellStyle name="Comma 3 6 2 2" xfId="386" xr:uid="{1AE32D3C-C97F-4450-9CB0-D5DD84A3C994}"/>
    <cellStyle name="Comma 3 6 2 2 2" xfId="595" xr:uid="{4DE85EE5-04B4-4D02-81A9-382E11E43E87}"/>
    <cellStyle name="Comma 3 6 2 3" xfId="488" xr:uid="{2BE43220-F6A6-4EC7-A3B9-582C799833CC}"/>
    <cellStyle name="Comma 3 6 3" xfId="336" xr:uid="{52592033-B3C8-4346-BEBA-A9DBEE914D3E}"/>
    <cellStyle name="Comma 3 6 3 2" xfId="545" xr:uid="{A0F8DDDA-3BBA-40EE-9CA6-DA64991CEC07}"/>
    <cellStyle name="Comma 3 6 4" xfId="438" xr:uid="{2632920B-42DE-48D0-98FB-AB188189996D}"/>
    <cellStyle name="Comma 3 7" xfId="250" xr:uid="{00000000-0005-0000-0000-000054000000}"/>
    <cellStyle name="Comma 3 7 2" xfId="358" xr:uid="{EFC653E0-E02E-4012-BC91-92338BB0AA00}"/>
    <cellStyle name="Comma 3 7 2 2" xfId="567" xr:uid="{2836EB87-D76C-419C-B6C2-7AA873A25526}"/>
    <cellStyle name="Comma 3 7 3" xfId="460" xr:uid="{76123372-6889-457D-A4BC-B6DDA747868B}"/>
    <cellStyle name="Comma 3 8" xfId="302" xr:uid="{99142315-057E-4053-ADA3-32AF524E220E}"/>
    <cellStyle name="Comma 3 8 2" xfId="511" xr:uid="{825D6A53-6787-41B1-AA0D-7371CCABEB22}"/>
    <cellStyle name="Comma 3 9" xfId="409" xr:uid="{B45A156D-4785-4D5D-8C6A-F9DB208BA70B}"/>
    <cellStyle name="Comma 4" xfId="11" xr:uid="{00000000-0005-0000-0000-000055000000}"/>
    <cellStyle name="Comma 4 2" xfId="211" xr:uid="{00000000-0005-0000-0000-000056000000}"/>
    <cellStyle name="Comma 4 2 2" xfId="339" xr:uid="{C6DA7E85-8A26-4867-952E-99A1CD144498}"/>
    <cellStyle name="Comma 4 2 2 2" xfId="548" xr:uid="{D80F96A5-06E9-4421-9196-231AB58AC8EF}"/>
    <cellStyle name="Comma 4 2 3" xfId="441" xr:uid="{EE2B3E87-203D-4DB1-A2B0-B0CB04090F8C}"/>
    <cellStyle name="Comma 4 3" xfId="210" xr:uid="{00000000-0005-0000-0000-000057000000}"/>
    <cellStyle name="Comma 4 3 2" xfId="280" xr:uid="{00000000-0005-0000-0000-000058000000}"/>
    <cellStyle name="Comma 4 3 2 2" xfId="388" xr:uid="{645B85AA-F578-46FB-8E07-9644BC44A068}"/>
    <cellStyle name="Comma 4 3 2 2 2" xfId="597" xr:uid="{B4962BBE-BBF9-437F-B53E-AC1AF99305E3}"/>
    <cellStyle name="Comma 4 3 2 3" xfId="490" xr:uid="{5F2BC384-E494-413D-9D65-FE6F65CC8569}"/>
    <cellStyle name="Comma 4 3 3" xfId="338" xr:uid="{B1C7C876-6819-4487-9CA4-3C4DF7CDB5B2}"/>
    <cellStyle name="Comma 4 3 3 2" xfId="547" xr:uid="{EAC31C63-040E-4A41-9F60-B6FBB7EB5EA6}"/>
    <cellStyle name="Comma 4 3 4" xfId="440" xr:uid="{1723E1DA-38E1-49BA-A0E8-622C77A3F992}"/>
    <cellStyle name="Comma 4 4" xfId="303" xr:uid="{13473FDB-CD8D-4DF8-93CF-9511B88BDB57}"/>
    <cellStyle name="Comma 4 4 2" xfId="512" xr:uid="{0D09C085-308F-4194-B97F-473D8E9E5B54}"/>
    <cellStyle name="Comma 4 5" xfId="410" xr:uid="{4F349BC6-E34A-42F5-AD5B-3A1CA6FCE52B}"/>
    <cellStyle name="Comma 5" xfId="31" xr:uid="{00000000-0005-0000-0000-000059000000}"/>
    <cellStyle name="Comma 5 2" xfId="39" xr:uid="{00000000-0005-0000-0000-00005A000000}"/>
    <cellStyle name="Comma 5 2 2" xfId="265" xr:uid="{00000000-0005-0000-0000-00005B000000}"/>
    <cellStyle name="Comma 5 2 2 2" xfId="373" xr:uid="{FAB6E35B-BCD3-4AA2-9AFC-4F6E9EEF06BD}"/>
    <cellStyle name="Comma 5 2 2 2 2" xfId="582" xr:uid="{5CE1B69A-921E-409F-B5F7-2A241A844A30}"/>
    <cellStyle name="Comma 5 2 2 3" xfId="475" xr:uid="{A1C7F57F-380C-48C1-B5E9-3B7058899329}"/>
    <cellStyle name="Comma 5 2 3" xfId="319" xr:uid="{B34649EC-9BAC-40B7-AC84-B222D94EB30A}"/>
    <cellStyle name="Comma 5 2 3 2" xfId="528" xr:uid="{868C1B06-A84A-44E4-AC43-9BD1A3F70513}"/>
    <cellStyle name="Comma 5 2 4" xfId="425" xr:uid="{A7EAAB11-DCB9-4CB5-9130-EA76377AA076}"/>
    <cellStyle name="Comma 5 3" xfId="258" xr:uid="{00000000-0005-0000-0000-00005C000000}"/>
    <cellStyle name="Comma 5 3 2" xfId="366" xr:uid="{A872FF17-6B07-4107-B114-C4EB98EBBF3F}"/>
    <cellStyle name="Comma 5 3 2 2" xfId="575" xr:uid="{7D6E82C0-275D-455D-AF55-18C53A280249}"/>
    <cellStyle name="Comma 5 3 3" xfId="468" xr:uid="{5E01ED91-8384-4226-BA1C-475ED186BE54}"/>
    <cellStyle name="Comma 5 4" xfId="312" xr:uid="{AD65AA8D-1D7B-4AF4-97E8-C9BBC6F94CB9}"/>
    <cellStyle name="Comma 5 4 2" xfId="521" xr:uid="{D2E899E9-1B0E-4BFA-B6DE-50B55F1589A8}"/>
    <cellStyle name="Comma 5 5" xfId="418" xr:uid="{A8FD28C3-468D-4FC0-ABC1-0ACCF2E5A364}"/>
    <cellStyle name="Comma 6" xfId="34" xr:uid="{00000000-0005-0000-0000-00005D000000}"/>
    <cellStyle name="Comma 6 2" xfId="40" xr:uid="{00000000-0005-0000-0000-00005E000000}"/>
    <cellStyle name="Comma 6 2 2" xfId="266" xr:uid="{00000000-0005-0000-0000-00005F000000}"/>
    <cellStyle name="Comma 6 2 2 2" xfId="374" xr:uid="{1C0B3CF5-51F0-42F9-844B-1D29C67198B5}"/>
    <cellStyle name="Comma 6 2 2 2 2" xfId="583" xr:uid="{50BD4D67-E68B-49D3-9742-DB7D07751CC8}"/>
    <cellStyle name="Comma 6 2 2 3" xfId="476" xr:uid="{FBF2419C-61B9-47DD-A35C-32EC73695F22}"/>
    <cellStyle name="Comma 6 2 3" xfId="320" xr:uid="{6AA2A8EF-43C9-458A-8F09-0A6257F86F25}"/>
    <cellStyle name="Comma 6 2 3 2" xfId="529" xr:uid="{CC5C5C24-A78D-4181-8EF5-F9B5F8636460}"/>
    <cellStyle name="Comma 6 2 4" xfId="426" xr:uid="{D7698197-3BE3-4E79-93FB-9A5768768AA7}"/>
    <cellStyle name="Comma 6 3" xfId="260" xr:uid="{00000000-0005-0000-0000-000060000000}"/>
    <cellStyle name="Comma 6 3 2" xfId="368" xr:uid="{15F905A4-5B46-4A65-849C-144B8575EF2B}"/>
    <cellStyle name="Comma 6 3 2 2" xfId="577" xr:uid="{E8270B44-3C4B-431C-8049-31EC5F99B1D7}"/>
    <cellStyle name="Comma 6 3 3" xfId="470" xr:uid="{8E62415F-52D5-44F4-8916-471045670005}"/>
    <cellStyle name="Comma 6 4" xfId="314" xr:uid="{65B5F33C-C5AE-4DA3-B657-C20A23C8CCAD}"/>
    <cellStyle name="Comma 6 4 2" xfId="523" xr:uid="{D3BFBB16-1020-4A01-A908-15943D95BE87}"/>
    <cellStyle name="Comma 6 5" xfId="420" xr:uid="{CC19F4F7-6283-46B6-B40C-BF4F7C20E224}"/>
    <cellStyle name="Comma 7" xfId="48" xr:uid="{00000000-0005-0000-0000-000061000000}"/>
    <cellStyle name="Comma 7 2" xfId="274" xr:uid="{00000000-0005-0000-0000-000062000000}"/>
    <cellStyle name="Comma 7 2 2" xfId="382" xr:uid="{A2FD82EC-DB5A-4ADA-928A-D3B5A0A2BE07}"/>
    <cellStyle name="Comma 7 2 2 2" xfId="591" xr:uid="{7CCBA6D7-38F2-4801-864F-0E5A3612E225}"/>
    <cellStyle name="Comma 7 2 3" xfId="484" xr:uid="{F255EDB3-25E2-4B12-BCD5-88CFE7BC27A3}"/>
    <cellStyle name="Comma 7 3" xfId="328" xr:uid="{F0F01997-6A84-4B2B-BCF0-CEB76B05AD91}"/>
    <cellStyle name="Comma 7 3 2" xfId="537" xr:uid="{58EB0D9A-BD44-4FAA-B942-8E0594088E5D}"/>
    <cellStyle name="Comma 7 4" xfId="434" xr:uid="{B316FA79-96E6-4DB1-9A4F-58EEB816BD6D}"/>
    <cellStyle name="comma zerodec" xfId="75" xr:uid="{00000000-0005-0000-0000-000063000000}"/>
    <cellStyle name="Comma0" xfId="76" xr:uid="{00000000-0005-0000-0000-000064000000}"/>
    <cellStyle name="Curren - Style3" xfId="77" xr:uid="{00000000-0005-0000-0000-000065000000}"/>
    <cellStyle name="Curren - Style4" xfId="78" xr:uid="{00000000-0005-0000-0000-000066000000}"/>
    <cellStyle name="Currency0" xfId="79" xr:uid="{00000000-0005-0000-0000-000067000000}"/>
    <cellStyle name="Currency1" xfId="80" xr:uid="{00000000-0005-0000-0000-000068000000}"/>
    <cellStyle name="DataStyle" xfId="182" xr:uid="{00000000-0005-0000-0000-000069000000}"/>
    <cellStyle name="Date" xfId="81" xr:uid="{00000000-0005-0000-0000-00006A000000}"/>
    <cellStyle name="Dollar (zero dec)" xfId="82" xr:uid="{00000000-0005-0000-0000-00006B000000}"/>
    <cellStyle name="Edited_Data" xfId="83" xr:uid="{00000000-0005-0000-0000-00006C000000}"/>
    <cellStyle name="Estimated_Data" xfId="84" xr:uid="{00000000-0005-0000-0000-00006D000000}"/>
    <cellStyle name="Fixed" xfId="85" xr:uid="{00000000-0005-0000-0000-00006E000000}"/>
    <cellStyle name="Fixed1 - Style1" xfId="183" xr:uid="{00000000-0005-0000-0000-00006F000000}"/>
    <cellStyle name="Forecast_Data" xfId="86" xr:uid="{00000000-0005-0000-0000-000070000000}"/>
    <cellStyle name="Grey" xfId="87" xr:uid="{00000000-0005-0000-0000-000071000000}"/>
    <cellStyle name="Header1" xfId="88" xr:uid="{00000000-0005-0000-0000-000072000000}"/>
    <cellStyle name="Header2" xfId="89" xr:uid="{00000000-0005-0000-0000-000073000000}"/>
    <cellStyle name="Heading1" xfId="90" xr:uid="{00000000-0005-0000-0000-000074000000}"/>
    <cellStyle name="Heading2" xfId="91" xr:uid="{00000000-0005-0000-0000-000075000000}"/>
    <cellStyle name="Heading3" xfId="92" xr:uid="{00000000-0005-0000-0000-000076000000}"/>
    <cellStyle name="Input [yellow]" xfId="93" xr:uid="{00000000-0005-0000-0000-000077000000}"/>
    <cellStyle name="Item_Current" xfId="94" xr:uid="{00000000-0005-0000-0000-000078000000}"/>
    <cellStyle name="KWE標準" xfId="95" xr:uid="{00000000-0005-0000-0000-000079000000}"/>
    <cellStyle name="M" xfId="96" xr:uid="{00000000-0005-0000-0000-00007A000000}"/>
    <cellStyle name="Millares [0]_Grade Differentiators" xfId="97" xr:uid="{00000000-0005-0000-0000-00007B000000}"/>
    <cellStyle name="Millares_Grade Differentiators" xfId="98" xr:uid="{00000000-0005-0000-0000-00007C000000}"/>
    <cellStyle name="Milliers [0]_AR1194" xfId="99" xr:uid="{00000000-0005-0000-0000-00007D000000}"/>
    <cellStyle name="Milliers_AR1194" xfId="100" xr:uid="{00000000-0005-0000-0000-00007E000000}"/>
    <cellStyle name="Moneda [0]_Grade Differentiators" xfId="101" xr:uid="{00000000-0005-0000-0000-00007F000000}"/>
    <cellStyle name="Moneda_Grade Differentiators" xfId="102" xr:uid="{00000000-0005-0000-0000-000080000000}"/>
    <cellStyle name="Monétaire [0]_AR1194" xfId="103" xr:uid="{00000000-0005-0000-0000-000081000000}"/>
    <cellStyle name="Monétaire_AR1194" xfId="104" xr:uid="{00000000-0005-0000-0000-000082000000}"/>
    <cellStyle name="ＭＳゴシック" xfId="105" xr:uid="{00000000-0005-0000-0000-000083000000}"/>
    <cellStyle name="Non défini" xfId="106" xr:uid="{00000000-0005-0000-0000-000084000000}"/>
    <cellStyle name="Normal" xfId="0" builtinId="0"/>
    <cellStyle name="Normal - Style1" xfId="107" xr:uid="{00000000-0005-0000-0000-000086000000}"/>
    <cellStyle name="Normal - Style5" xfId="108" xr:uid="{00000000-0005-0000-0000-000087000000}"/>
    <cellStyle name="Normal 10" xfId="204" xr:uid="{00000000-0005-0000-0000-000088000000}"/>
    <cellStyle name="Normal 11" xfId="221" xr:uid="{00000000-0005-0000-0000-000089000000}"/>
    <cellStyle name="Normal 12" xfId="298" xr:uid="{00000000-0005-0000-0000-00008A000000}"/>
    <cellStyle name="Normal 2" xfId="2" xr:uid="{00000000-0005-0000-0000-00008B000000}"/>
    <cellStyle name="Normal 2 2" xfId="4" xr:uid="{00000000-0005-0000-0000-00008C000000}"/>
    <cellStyle name="Normal 2 2 2" xfId="6" xr:uid="{00000000-0005-0000-0000-00008D000000}"/>
    <cellStyle name="Normal 2 2 2 2" xfId="12" xr:uid="{00000000-0005-0000-0000-00008E000000}"/>
    <cellStyle name="Normal 2 2 2 2 2" xfId="215" xr:uid="{00000000-0005-0000-0000-00008F000000}"/>
    <cellStyle name="Normal 2 2 2 2 2 2" xfId="284" xr:uid="{00000000-0005-0000-0000-000090000000}"/>
    <cellStyle name="Normal 2 2 2 2 2 2 2" xfId="392" xr:uid="{47D92AFB-339E-4B56-8818-EAEB90531B2C}"/>
    <cellStyle name="Normal 2 2 2 2 2 2 2 2" xfId="601" xr:uid="{7F82C100-563C-49A7-B356-BFF1D680B58C}"/>
    <cellStyle name="Normal 2 2 2 2 2 2 3" xfId="494" xr:uid="{3AFC4517-E1F2-449A-BD0E-9FBB0961A5AC}"/>
    <cellStyle name="Normal 2 2 2 2 2 3" xfId="343" xr:uid="{88C7DE26-A525-4ABD-9B11-AA6D34D1D36F}"/>
    <cellStyle name="Normal 2 2 2 2 2 3 2" xfId="552" xr:uid="{83CD85CE-2AF8-42B5-8D88-143C8A2739FB}"/>
    <cellStyle name="Normal 2 2 2 2 2 4" xfId="445" xr:uid="{C5335F23-5356-4E32-86DB-C9F2BDFCF137}"/>
    <cellStyle name="Normal 2 2 2 2 3" xfId="214" xr:uid="{00000000-0005-0000-0000-000091000000}"/>
    <cellStyle name="Normal 2 2 2 2 3 2" xfId="283" xr:uid="{00000000-0005-0000-0000-000092000000}"/>
    <cellStyle name="Normal 2 2 2 2 3 2 2" xfId="391" xr:uid="{D1D48808-97E6-4B77-B591-1C25DF02D0BB}"/>
    <cellStyle name="Normal 2 2 2 2 3 2 2 2" xfId="600" xr:uid="{ABB5325D-A043-4303-BC92-9F9B830BD725}"/>
    <cellStyle name="Normal 2 2 2 2 3 2 3" xfId="493" xr:uid="{8B01951B-F3B3-4303-894C-B7FEA11191A2}"/>
    <cellStyle name="Normal 2 2 2 2 3 3" xfId="342" xr:uid="{9FDB6EFA-2391-4031-B8DD-B3FDFC9CFB57}"/>
    <cellStyle name="Normal 2 2 2 2 3 3 2" xfId="551" xr:uid="{9DC376D6-40C1-4C8B-8AEE-A6A54E5E1A6D}"/>
    <cellStyle name="Normal 2 2 2 2 3 4" xfId="444" xr:uid="{ADDB794A-1D60-4D4B-A395-233BA5B71077}"/>
    <cellStyle name="Normal 2 2 2 3" xfId="213" xr:uid="{00000000-0005-0000-0000-000093000000}"/>
    <cellStyle name="Normal 2 2 2 3 2" xfId="282" xr:uid="{00000000-0005-0000-0000-000094000000}"/>
    <cellStyle name="Normal 2 2 2 3 2 2" xfId="390" xr:uid="{3B0FB5D1-0FA6-40F9-A623-43350C13816B}"/>
    <cellStyle name="Normal 2 2 2 3 2 2 2" xfId="599" xr:uid="{C0AF2384-E467-4D37-A631-E219C9E9ABE7}"/>
    <cellStyle name="Normal 2 2 2 3 2 3" xfId="492" xr:uid="{E49E76CD-EFFB-4D4F-AEF2-70F0C2783DA0}"/>
    <cellStyle name="Normal 2 2 2 3 3" xfId="341" xr:uid="{D6D0E0CE-FD6E-4429-ADEC-175A6A19A2D7}"/>
    <cellStyle name="Normal 2 2 2 3 3 2" xfId="550" xr:uid="{A49C2ECB-56B8-4BB7-A322-E9E02B0E7B4A}"/>
    <cellStyle name="Normal 2 2 2 3 4" xfId="443" xr:uid="{E494EE01-D2C1-42CC-ADC6-F52FFBFB5F92}"/>
    <cellStyle name="Normal 2 2 3" xfId="16" xr:uid="{00000000-0005-0000-0000-000095000000}"/>
    <cellStyle name="Normal 2 2 3 2" xfId="216" xr:uid="{00000000-0005-0000-0000-000096000000}"/>
    <cellStyle name="Normal 2 2 4" xfId="212" xr:uid="{00000000-0005-0000-0000-000097000000}"/>
    <cellStyle name="Normal 2 2 4 2" xfId="281" xr:uid="{00000000-0005-0000-0000-000098000000}"/>
    <cellStyle name="Normal 2 2 4 2 2" xfId="389" xr:uid="{2E0AE375-5B1F-4F16-A6C7-5A4358919AA3}"/>
    <cellStyle name="Normal 2 2 4 2 2 2" xfId="598" xr:uid="{B4054F83-6572-4C66-90D7-93D4961C8D24}"/>
    <cellStyle name="Normal 2 2 4 2 3" xfId="491" xr:uid="{9B82B830-51AE-4B73-9D95-496DF375A9D3}"/>
    <cellStyle name="Normal 2 2 4 3" xfId="340" xr:uid="{15697E13-0CEE-4B16-A43F-F93497AF8C5A}"/>
    <cellStyle name="Normal 2 2 4 3 2" xfId="549" xr:uid="{762C491F-DA7C-40E6-894A-9A2B251757BC}"/>
    <cellStyle name="Normal 2 2 4 4" xfId="442" xr:uid="{433B7F9C-1B3F-420E-AE04-051FDD753AC7}"/>
    <cellStyle name="Normal 2 3" xfId="10" xr:uid="{00000000-0005-0000-0000-000099000000}"/>
    <cellStyle name="Normal 2 3 2" xfId="17" xr:uid="{00000000-0005-0000-0000-00009A000000}"/>
    <cellStyle name="Normal 2 3 2 2" xfId="218" xr:uid="{00000000-0005-0000-0000-00009B000000}"/>
    <cellStyle name="Normal 2 3 2 2 2" xfId="286" xr:uid="{00000000-0005-0000-0000-00009C000000}"/>
    <cellStyle name="Normal 2 3 2 2 2 2" xfId="394" xr:uid="{8A92028E-AC8D-4DCC-A856-4F8C505F3B18}"/>
    <cellStyle name="Normal 2 3 2 2 2 2 2" xfId="603" xr:uid="{7EFDC504-265E-4CDB-9341-D6BA6E81B07C}"/>
    <cellStyle name="Normal 2 3 2 2 2 3" xfId="496" xr:uid="{0E65E605-D1CE-447F-ABE9-1A6819688B7A}"/>
    <cellStyle name="Normal 2 3 2 2 3" xfId="345" xr:uid="{7AC52363-75FA-4996-9E71-F0549165867C}"/>
    <cellStyle name="Normal 2 3 2 2 3 2" xfId="554" xr:uid="{CF87E61C-F73B-4589-85A6-AD64FBE3EFD9}"/>
    <cellStyle name="Normal 2 3 2 2 4" xfId="447" xr:uid="{D2292374-5969-443C-B036-AE887373DFF5}"/>
    <cellStyle name="Normal 2 3 3" xfId="217" xr:uid="{00000000-0005-0000-0000-00009D000000}"/>
    <cellStyle name="Normal 2 3 3 2" xfId="285" xr:uid="{00000000-0005-0000-0000-00009E000000}"/>
    <cellStyle name="Normal 2 3 3 2 2" xfId="393" xr:uid="{C0FCDAC8-2918-48EC-919F-AFE63CCBC17A}"/>
    <cellStyle name="Normal 2 3 3 2 2 2" xfId="602" xr:uid="{9F20F909-9D6A-47C1-BA55-B5E497254021}"/>
    <cellStyle name="Normal 2 3 3 2 3" xfId="495" xr:uid="{437EA2D7-3B2E-4C60-86B4-721E3EFC9755}"/>
    <cellStyle name="Normal 2 3 3 3" xfId="344" xr:uid="{5228935E-81D6-4FCA-94AC-7E62C4BBD282}"/>
    <cellStyle name="Normal 2 3 3 3 2" xfId="553" xr:uid="{BC7F195E-7AC2-470C-A202-B37DEA7DD7DB}"/>
    <cellStyle name="Normal 2 3 3 4" xfId="446" xr:uid="{0B432D33-69D9-4B85-B4A7-315655012B54}"/>
    <cellStyle name="Normal 2 4" xfId="18" xr:uid="{00000000-0005-0000-0000-00009F000000}"/>
    <cellStyle name="Normal 2 4 2" xfId="220" xr:uid="{00000000-0005-0000-0000-0000A0000000}"/>
    <cellStyle name="Normal 2 4 2 2" xfId="287" xr:uid="{00000000-0005-0000-0000-0000A1000000}"/>
    <cellStyle name="Normal 2 4 2 2 2" xfId="395" xr:uid="{029E13DC-0F91-4D88-9A3E-BB682C03D8C1}"/>
    <cellStyle name="Normal 2 4 2 2 2 2" xfId="604" xr:uid="{BB6436FC-17FB-4F2D-912F-5A56CCD4DFB8}"/>
    <cellStyle name="Normal 2 4 2 2 3" xfId="497" xr:uid="{BF96C102-0BBA-458E-B29F-26F8D22330C4}"/>
    <cellStyle name="Normal 2 4 2 3" xfId="346" xr:uid="{D26AB773-4A99-4C7B-A13C-4AB86B64D9C7}"/>
    <cellStyle name="Normal 2 4 2 3 2" xfId="555" xr:uid="{ED643E5B-E46C-4487-87C6-903DECB4CC40}"/>
    <cellStyle name="Normal 2 4 2 4" xfId="448" xr:uid="{27BBB582-66C1-45C3-B997-6AD06D6B0FBE}"/>
    <cellStyle name="Normal 2 4 3" xfId="219" xr:uid="{00000000-0005-0000-0000-0000A2000000}"/>
    <cellStyle name="Normal 2 5" xfId="32" xr:uid="{00000000-0005-0000-0000-0000A3000000}"/>
    <cellStyle name="Normal 2 5 2" xfId="184" xr:uid="{00000000-0005-0000-0000-0000A4000000}"/>
    <cellStyle name="Normal 2_20130828ﾒｷｼｺﾚｰﾄ案(減価償却見直し)" xfId="185" xr:uid="{00000000-0005-0000-0000-0000A5000000}"/>
    <cellStyle name="Normal 27" xfId="186" xr:uid="{00000000-0005-0000-0000-0000A6000000}"/>
    <cellStyle name="Normal 3" xfId="3" xr:uid="{00000000-0005-0000-0000-0000A7000000}"/>
    <cellStyle name="Normal 3 2" xfId="19" xr:uid="{00000000-0005-0000-0000-0000A8000000}"/>
    <cellStyle name="Normal 3 2 2" xfId="223" xr:uid="{00000000-0005-0000-0000-0000A9000000}"/>
    <cellStyle name="Normal 3 2 2 2" xfId="289" xr:uid="{00000000-0005-0000-0000-0000AA000000}"/>
    <cellStyle name="Normal 3 2 2 2 2" xfId="397" xr:uid="{DF2DFCB7-3AC6-4FFC-A9BF-1670823DB367}"/>
    <cellStyle name="Normal 3 2 2 2 2 2" xfId="606" xr:uid="{E750D9E8-869C-4CE9-951D-E8ED30BCB9B0}"/>
    <cellStyle name="Normal 3 2 2 2 3" xfId="499" xr:uid="{AD89E1F4-C2A0-4004-BEC9-2BE5ADC05824}"/>
    <cellStyle name="Normal 3 2 2 3" xfId="348" xr:uid="{1C19AF83-903D-447B-BFCB-B8896A205B43}"/>
    <cellStyle name="Normal 3 2 2 3 2" xfId="557" xr:uid="{0F608FEB-D587-4328-BF53-2D64915FA39A}"/>
    <cellStyle name="Normal 3 2 2 4" xfId="450" xr:uid="{03EF96BC-6A01-4142-BCF0-E01491A49F23}"/>
    <cellStyle name="Normal 3 3" xfId="224" xr:uid="{00000000-0005-0000-0000-0000AB000000}"/>
    <cellStyle name="Normal 3 3 2" xfId="290" xr:uid="{00000000-0005-0000-0000-0000AC000000}"/>
    <cellStyle name="Normal 3 3 2 2" xfId="398" xr:uid="{850E63B7-DE78-4D88-8EFF-244B480B6A56}"/>
    <cellStyle name="Normal 3 3 2 2 2" xfId="607" xr:uid="{C7F9CA69-3D76-49BE-9AD8-5294399830D8}"/>
    <cellStyle name="Normal 3 3 2 3" xfId="500" xr:uid="{A4A157B8-03D6-4621-B611-174146EF1AF8}"/>
    <cellStyle name="Normal 3 3 3" xfId="349" xr:uid="{27746E82-9729-4B96-9531-D7D5C298E9BF}"/>
    <cellStyle name="Normal 3 3 3 2" xfId="558" xr:uid="{41C3BF8A-74A2-4B9E-8B18-4A9C156C624D}"/>
    <cellStyle name="Normal 3 3 4" xfId="451" xr:uid="{5D2220DE-00FD-4486-BDDC-07B1E166ABD4}"/>
    <cellStyle name="Normal 3 4" xfId="222" xr:uid="{00000000-0005-0000-0000-0000AD000000}"/>
    <cellStyle name="Normal 3 4 2" xfId="288" xr:uid="{00000000-0005-0000-0000-0000AE000000}"/>
    <cellStyle name="Normal 3 4 2 2" xfId="396" xr:uid="{A79B8178-6807-4234-8856-C2440D6FB9D5}"/>
    <cellStyle name="Normal 3 4 2 2 2" xfId="605" xr:uid="{B16D7F6E-2905-4B34-8465-C2A9E4647651}"/>
    <cellStyle name="Normal 3 4 2 3" xfId="498" xr:uid="{6220F196-E940-4748-B4AD-E7B916A2085A}"/>
    <cellStyle name="Normal 3 4 3" xfId="347" xr:uid="{9183108D-432B-4A1D-B1F1-3ABD40D2AE56}"/>
    <cellStyle name="Normal 3 4 3 2" xfId="556" xr:uid="{15CD78FF-1DF3-43F1-8D52-16EC6FD15290}"/>
    <cellStyle name="Normal 3 4 4" xfId="449" xr:uid="{EEA4E6A5-51BB-4768-B114-3A483F3C046B}"/>
    <cellStyle name="Normal 4" xfId="8" xr:uid="{00000000-0005-0000-0000-0000AF000000}"/>
    <cellStyle name="Normal 4 2" xfId="24" xr:uid="{00000000-0005-0000-0000-0000B0000000}"/>
    <cellStyle name="Normal 4 2 2" xfId="41" xr:uid="{00000000-0005-0000-0000-0000B1000000}"/>
    <cellStyle name="Normal 4 2 2 2" xfId="267" xr:uid="{00000000-0005-0000-0000-0000B2000000}"/>
    <cellStyle name="Normal 4 2 2 2 2" xfId="375" xr:uid="{1DDBC973-49E1-4EB0-B584-00D8640BC0E0}"/>
    <cellStyle name="Normal 4 2 2 2 2 2" xfId="584" xr:uid="{01C93430-5CD1-432B-87B9-041832DA784C}"/>
    <cellStyle name="Normal 4 2 2 2 3" xfId="477" xr:uid="{1E2B108E-6531-441A-BA7F-0E0E25CA16B8}"/>
    <cellStyle name="Normal 4 2 2 3" xfId="321" xr:uid="{364F71BE-2CE5-4E1C-AF26-47E04530B465}"/>
    <cellStyle name="Normal 4 2 2 3 2" xfId="530" xr:uid="{BF0CCDDB-8AC4-45A6-9C05-A087A9916633}"/>
    <cellStyle name="Normal 4 2 2 4" xfId="427" xr:uid="{D2185241-D4DC-4F65-8874-2C4A6F520B8C}"/>
    <cellStyle name="Normal 4 2 3" xfId="226" xr:uid="{00000000-0005-0000-0000-0000B3000000}"/>
    <cellStyle name="Normal 4 2 3 2" xfId="291" xr:uid="{00000000-0005-0000-0000-0000B4000000}"/>
    <cellStyle name="Normal 4 2 3 2 2" xfId="399" xr:uid="{0A315CCF-F2A8-436A-91AB-1C6F9C69C4D1}"/>
    <cellStyle name="Normal 4 2 3 2 2 2" xfId="608" xr:uid="{E0CF0885-93B6-4A15-A4AC-46016082E92D}"/>
    <cellStyle name="Normal 4 2 3 2 3" xfId="501" xr:uid="{DED11BEE-AE87-4C0C-BF34-C6889A7FEE8A}"/>
    <cellStyle name="Normal 4 2 3 3" xfId="350" xr:uid="{88616D1C-B7C9-4DFA-BA63-05E7B53D8D34}"/>
    <cellStyle name="Normal 4 2 3 3 2" xfId="559" xr:uid="{BCEE2066-148B-443C-ABDC-812ADCDC044D}"/>
    <cellStyle name="Normal 4 2 3 4" xfId="452" xr:uid="{8E050ADE-5F54-4D56-BD2F-8C3B8020AFAE}"/>
    <cellStyle name="Normal 4 2 4" xfId="251" xr:uid="{00000000-0005-0000-0000-0000B5000000}"/>
    <cellStyle name="Normal 4 2 4 2" xfId="359" xr:uid="{A44C99A0-C937-459C-928C-AEE81ABF4BB4}"/>
    <cellStyle name="Normal 4 2 4 2 2" xfId="568" xr:uid="{75FBE2C4-C0A5-46D5-933D-6B9E61716238}"/>
    <cellStyle name="Normal 4 2 4 3" xfId="461" xr:uid="{63D5FCA9-695C-43AF-868F-643F1CC5F5FE}"/>
    <cellStyle name="Normal 4 2 5" xfId="305" xr:uid="{640B3561-87AF-45A5-BF4A-857FB761E655}"/>
    <cellStyle name="Normal 4 2 5 2" xfId="514" xr:uid="{A032AD45-56D6-46AF-883F-B29A78C9D817}"/>
    <cellStyle name="Normal 4 2 6" xfId="411" xr:uid="{F5A32F0D-07E5-4E5F-93F8-7B5513D57AAD}"/>
    <cellStyle name="Normal 4 3" xfId="26" xr:uid="{00000000-0005-0000-0000-0000B6000000}"/>
    <cellStyle name="Normal 4 3 2" xfId="42" xr:uid="{00000000-0005-0000-0000-0000B7000000}"/>
    <cellStyle name="Normal 4 3 2 2" xfId="268" xr:uid="{00000000-0005-0000-0000-0000B8000000}"/>
    <cellStyle name="Normal 4 3 2 2 2" xfId="376" xr:uid="{432D9936-3634-4DF5-8331-FA300E19F6B7}"/>
    <cellStyle name="Normal 4 3 2 2 2 2" xfId="585" xr:uid="{2A2E463E-7B09-4A84-AC48-D0BA9F1C2599}"/>
    <cellStyle name="Normal 4 3 2 2 3" xfId="478" xr:uid="{DC43E6E6-6085-4686-A6D0-3FC160526D34}"/>
    <cellStyle name="Normal 4 3 2 3" xfId="322" xr:uid="{55874D7E-51CA-42ED-92D1-A6A78EFF6395}"/>
    <cellStyle name="Normal 4 3 2 3 2" xfId="531" xr:uid="{DAFEBC9A-2FC8-4CA9-B5B0-3994796E8153}"/>
    <cellStyle name="Normal 4 3 2 4" xfId="428" xr:uid="{D8CE38C6-42B2-4A5D-A26F-F04A7A2E20E7}"/>
    <cellStyle name="Normal 4 3 3" xfId="227" xr:uid="{00000000-0005-0000-0000-0000B9000000}"/>
    <cellStyle name="Normal 4 3 4" xfId="253" xr:uid="{00000000-0005-0000-0000-0000BA000000}"/>
    <cellStyle name="Normal 4 3 4 2" xfId="361" xr:uid="{019C7FF1-6B94-4F50-9E74-6F5A0B9FB05C}"/>
    <cellStyle name="Normal 4 3 4 2 2" xfId="570" xr:uid="{4B605549-EDB9-4577-9BA6-925CA3F281D6}"/>
    <cellStyle name="Normal 4 3 4 3" xfId="463" xr:uid="{CF51C5EF-FC29-4BDA-BAA2-02FC005B0403}"/>
    <cellStyle name="Normal 4 3 5" xfId="307" xr:uid="{19DDF078-07B5-4AAF-848B-13670D049A4F}"/>
    <cellStyle name="Normal 4 3 5 2" xfId="516" xr:uid="{DB93FF76-7053-4787-ABF9-D429C0D41F68}"/>
    <cellStyle name="Normal 4 3 6" xfId="413" xr:uid="{D366DF2D-BC03-46C6-AFA3-4F8ED2436AAB}"/>
    <cellStyle name="Normal 4 4" xfId="28" xr:uid="{00000000-0005-0000-0000-0000BB000000}"/>
    <cellStyle name="Normal 4 4 2" xfId="43" xr:uid="{00000000-0005-0000-0000-0000BC000000}"/>
    <cellStyle name="Normal 4 4 2 2" xfId="269" xr:uid="{00000000-0005-0000-0000-0000BD000000}"/>
    <cellStyle name="Normal 4 4 2 2 2" xfId="377" xr:uid="{9A98EB6B-003B-44AD-819B-0D49CB65170D}"/>
    <cellStyle name="Normal 4 4 2 2 2 2" xfId="586" xr:uid="{7B30ED49-BD4C-4E4C-89F5-0D68B7465ED0}"/>
    <cellStyle name="Normal 4 4 2 2 3" xfId="479" xr:uid="{0CB68825-B844-4C37-A0BB-00CC173E0515}"/>
    <cellStyle name="Normal 4 4 2 3" xfId="323" xr:uid="{ED298DF7-4FE0-4080-AAEA-EF59B7B9B3DA}"/>
    <cellStyle name="Normal 4 4 2 3 2" xfId="532" xr:uid="{6B377587-F409-4508-81CD-4922010AC01F}"/>
    <cellStyle name="Normal 4 4 2 4" xfId="429" xr:uid="{80093ACB-CD14-410A-B676-5C29AE7D5DAA}"/>
    <cellStyle name="Normal 4 4 3" xfId="255" xr:uid="{00000000-0005-0000-0000-0000BE000000}"/>
    <cellStyle name="Normal 4 4 3 2" xfId="363" xr:uid="{0C888103-53F4-488A-9CEA-B555E9315E90}"/>
    <cellStyle name="Normal 4 4 3 2 2" xfId="572" xr:uid="{EFD15B6A-BEDB-469D-BE0B-23C5680DE547}"/>
    <cellStyle name="Normal 4 4 3 3" xfId="465" xr:uid="{D89D3B3B-09BF-4BDD-B4F8-073623CAAB04}"/>
    <cellStyle name="Normal 4 4 4" xfId="309" xr:uid="{4A9B254A-808C-41CA-A480-0E4E04D9A87F}"/>
    <cellStyle name="Normal 4 4 4 2" xfId="518" xr:uid="{3C8D45F0-F5CC-4B5C-8666-936C7072FFD0}"/>
    <cellStyle name="Normal 4 4 5" xfId="415" xr:uid="{66EAD271-A011-48AC-8069-A7904D2D71F1}"/>
    <cellStyle name="Normal 4 5" xfId="44" xr:uid="{00000000-0005-0000-0000-0000BF000000}"/>
    <cellStyle name="Normal 4 5 2" xfId="270" xr:uid="{00000000-0005-0000-0000-0000C0000000}"/>
    <cellStyle name="Normal 4 5 2 2" xfId="378" xr:uid="{0C9EC702-BB61-4570-B35D-394187F30799}"/>
    <cellStyle name="Normal 4 5 2 2 2" xfId="587" xr:uid="{3E326979-0572-41B8-8E51-7CC20B86E370}"/>
    <cellStyle name="Normal 4 5 2 3" xfId="480" xr:uid="{E1ABA251-06AC-4F1E-9FD5-F9955E55F434}"/>
    <cellStyle name="Normal 4 5 3" xfId="324" xr:uid="{40A067A5-E388-4510-A7A7-8D819D83C612}"/>
    <cellStyle name="Normal 4 5 3 2" xfId="533" xr:uid="{345965C9-A415-4575-9890-D3ADAF30FF3F}"/>
    <cellStyle name="Normal 4 5 4" xfId="430" xr:uid="{E10E2229-6658-40BC-9BE6-CBD6F6494D66}"/>
    <cellStyle name="Normal 4 6" xfId="225" xr:uid="{00000000-0005-0000-0000-0000C1000000}"/>
    <cellStyle name="Normal 4 7" xfId="249" xr:uid="{00000000-0005-0000-0000-0000C2000000}"/>
    <cellStyle name="Normal 4 7 2" xfId="357" xr:uid="{321DC017-ABC5-47A4-A5CC-35CB849F384C}"/>
    <cellStyle name="Normal 4 7 2 2" xfId="566" xr:uid="{DBCD509D-EA63-481B-A6A9-DFEE92F3F363}"/>
    <cellStyle name="Normal 4 7 3" xfId="459" xr:uid="{BE45DE88-DCEA-4DE3-9158-18781E5CDFCB}"/>
    <cellStyle name="Normal 4 8" xfId="301" xr:uid="{026C28F9-2BB8-4C48-B762-D8DA63DBCB62}"/>
    <cellStyle name="Normal 4 8 2" xfId="510" xr:uid="{70FA8309-0EA3-4140-BD62-0DD081001B75}"/>
    <cellStyle name="Normal 4 9" xfId="408" xr:uid="{9810C91F-851D-4339-ABF6-1E1E2FBF22BF}"/>
    <cellStyle name="Normal 4_P3 ﾒｷｼｺ生産計画131129見直し　ver2" xfId="187" xr:uid="{00000000-0005-0000-0000-0000C3000000}"/>
    <cellStyle name="Normal 5" xfId="20" xr:uid="{00000000-0005-0000-0000-0000C4000000}"/>
    <cellStyle name="Normal 5 2" xfId="188" xr:uid="{00000000-0005-0000-0000-0000C5000000}"/>
    <cellStyle name="Normal 5 2 2" xfId="230" xr:uid="{00000000-0005-0000-0000-0000C6000000}"/>
    <cellStyle name="Normal 5 2 2 2" xfId="294" xr:uid="{00000000-0005-0000-0000-0000C7000000}"/>
    <cellStyle name="Normal 5 2 2 2 2" xfId="402" xr:uid="{5540E8ED-8913-4A21-96ED-B3CC036C1BDF}"/>
    <cellStyle name="Normal 5 2 2 2 2 2" xfId="611" xr:uid="{243B2354-A651-4460-836A-BD7EDE7ED928}"/>
    <cellStyle name="Normal 5 2 2 2 3" xfId="504" xr:uid="{C466A56A-F83B-45E3-BD4B-1A45CB4C4AB1}"/>
    <cellStyle name="Normal 5 2 2 3" xfId="299" xr:uid="{00000000-0005-0000-0000-0000C8000000}"/>
    <cellStyle name="Normal 5 2 2 3 2" xfId="406" xr:uid="{FC8A6729-9C4B-4459-9475-41A4679BAA5F}"/>
    <cellStyle name="Normal 5 2 2 3 2 2" xfId="615" xr:uid="{F8A3867A-0807-47BC-B80C-62D7613C174B}"/>
    <cellStyle name="Normal 5 2 2 3 3" xfId="508" xr:uid="{35B59A5F-E296-4295-BF51-5E253EB9A202}"/>
    <cellStyle name="Normal 5 2 2 4" xfId="353" xr:uid="{1E2B5C2B-BC0A-40C5-9621-6B954EADCFCF}"/>
    <cellStyle name="Normal 5 2 2 4 2" xfId="562" xr:uid="{E164CAC9-7CA4-4F26-A7B6-95C83BCB6376}"/>
    <cellStyle name="Normal 5 2 2 5" xfId="455" xr:uid="{9B0CC1CD-E9B8-476C-AD0D-76030E144B38}"/>
    <cellStyle name="Normal 5 2 3" xfId="229" xr:uid="{00000000-0005-0000-0000-0000C9000000}"/>
    <cellStyle name="Normal 5 2 3 2" xfId="293" xr:uid="{00000000-0005-0000-0000-0000CA000000}"/>
    <cellStyle name="Normal 5 2 3 2 2" xfId="401" xr:uid="{4761950B-E170-4FA2-89D8-17B486A0156F}"/>
    <cellStyle name="Normal 5 2 3 2 2 2" xfId="610" xr:uid="{405507FF-C0F2-4F7E-9703-53139579E147}"/>
    <cellStyle name="Normal 5 2 3 2 3" xfId="503" xr:uid="{99A91B08-0415-4BAF-900B-16A4220D5094}"/>
    <cellStyle name="Normal 5 2 3 3" xfId="352" xr:uid="{9530C24F-1C33-43B0-8E26-CE281CEF32A2}"/>
    <cellStyle name="Normal 5 2 3 3 2" xfId="561" xr:uid="{79BE0642-756B-4CC9-99D0-6E1A90E68322}"/>
    <cellStyle name="Normal 5 2 3 4" xfId="454" xr:uid="{19503AEF-1BF0-4C05-9A3F-47670BF68B2F}"/>
    <cellStyle name="Normal 5 3" xfId="231" xr:uid="{00000000-0005-0000-0000-0000CB000000}"/>
    <cellStyle name="Normal 5 3 2" xfId="232" xr:uid="{00000000-0005-0000-0000-0000CC000000}"/>
    <cellStyle name="Normal 5 3 2 2" xfId="233" xr:uid="{00000000-0005-0000-0000-0000CD000000}"/>
    <cellStyle name="Normal 5 4" xfId="228" xr:uid="{00000000-0005-0000-0000-0000CE000000}"/>
    <cellStyle name="Normal 5 4 2" xfId="292" xr:uid="{00000000-0005-0000-0000-0000CF000000}"/>
    <cellStyle name="Normal 5 4 2 2" xfId="400" xr:uid="{601C2737-B467-44B5-B190-438B9BC70A9A}"/>
    <cellStyle name="Normal 5 4 2 2 2" xfId="609" xr:uid="{AC3FD84F-0DB4-44AF-AC1D-AD64DF03F27F}"/>
    <cellStyle name="Normal 5 4 2 3" xfId="502" xr:uid="{B5E6B6EF-9AE0-4C90-9C9B-261A581BC160}"/>
    <cellStyle name="Normal 5 4 3" xfId="351" xr:uid="{C4295D6F-058E-4726-8907-9263217E37C9}"/>
    <cellStyle name="Normal 5 4 3 2" xfId="560" xr:uid="{52CE8AB2-B860-4458-AB81-7BD2DF4F3DDE}"/>
    <cellStyle name="Normal 5 4 4" xfId="453" xr:uid="{0E9A1D76-8421-4DB3-97C4-D75A1A89489F}"/>
    <cellStyle name="Normal 6" xfId="30" xr:uid="{00000000-0005-0000-0000-0000D0000000}"/>
    <cellStyle name="Normal 6 2" xfId="45" xr:uid="{00000000-0005-0000-0000-0000D1000000}"/>
    <cellStyle name="Normal 6 2 2" xfId="235" xr:uid="{00000000-0005-0000-0000-0000D2000000}"/>
    <cellStyle name="Normal 6 2 3" xfId="271" xr:uid="{00000000-0005-0000-0000-0000D3000000}"/>
    <cellStyle name="Normal 6 2 3 2" xfId="379" xr:uid="{04D8A434-09F4-492B-AD76-E0FB6F47D87A}"/>
    <cellStyle name="Normal 6 2 3 2 2" xfId="588" xr:uid="{3CFB1943-EC8C-41D8-8D4A-325CADC31690}"/>
    <cellStyle name="Normal 6 2 3 3" xfId="481" xr:uid="{096609FD-6933-4718-9CA0-64A15A910AB6}"/>
    <cellStyle name="Normal 6 2 4" xfId="325" xr:uid="{6B3FA1F2-36A7-49D0-9A0E-7BB432E8F6F8}"/>
    <cellStyle name="Normal 6 2 4 2" xfId="534" xr:uid="{116FD564-A636-4CDA-B31B-14544B321C5A}"/>
    <cellStyle name="Normal 6 2 5" xfId="431" xr:uid="{673CF920-0AF9-469A-9C8C-23550C79089D}"/>
    <cellStyle name="Normal 6 3" xfId="234" xr:uid="{00000000-0005-0000-0000-0000D4000000}"/>
    <cellStyle name="Normal 6 4" xfId="257" xr:uid="{00000000-0005-0000-0000-0000D5000000}"/>
    <cellStyle name="Normal 6 4 2" xfId="365" xr:uid="{60BA7A68-E2FA-48DC-A830-52A434CDD1D4}"/>
    <cellStyle name="Normal 6 4 2 2" xfId="574" xr:uid="{CDF57F43-A07E-4F3D-817E-290454ECCFE7}"/>
    <cellStyle name="Normal 6 4 3" xfId="467" xr:uid="{89D191AF-FAE1-438F-8F4D-D3CA06BDD274}"/>
    <cellStyle name="Normal 6 5" xfId="311" xr:uid="{51589393-84E0-4161-8131-421FC1993A10}"/>
    <cellStyle name="Normal 6 5 2" xfId="520" xr:uid="{A9D40ED4-8ED1-4BCB-BF10-6EF1F310538A}"/>
    <cellStyle name="Normal 6 6" xfId="417" xr:uid="{BA97C648-C561-41F0-99D3-183E194BFA53}"/>
    <cellStyle name="Normal 7" xfId="33" xr:uid="{00000000-0005-0000-0000-0000D6000000}"/>
    <cellStyle name="Normal 7 2" xfId="46" xr:uid="{00000000-0005-0000-0000-0000D7000000}"/>
    <cellStyle name="Normal 7 2 2" xfId="272" xr:uid="{00000000-0005-0000-0000-0000D8000000}"/>
    <cellStyle name="Normal 7 2 2 2" xfId="380" xr:uid="{7ED7AC5C-6E4D-449C-B736-9CC03DAB0627}"/>
    <cellStyle name="Normal 7 2 2 2 2" xfId="589" xr:uid="{F8DEECAF-574A-438E-9647-7C82E9F300CF}"/>
    <cellStyle name="Normal 7 2 2 3" xfId="482" xr:uid="{DAF6EAED-3FF6-460E-B603-8F745E9EA9D6}"/>
    <cellStyle name="Normal 7 2 3" xfId="326" xr:uid="{F57E222B-2BF7-4520-A368-FD88F7555F85}"/>
    <cellStyle name="Normal 7 2 3 2" xfId="535" xr:uid="{2766ED0E-5876-47D4-B79C-2A5B026A3F66}"/>
    <cellStyle name="Normal 7 2 4" xfId="432" xr:uid="{6A9245FA-7ED5-4E9F-B5C1-D49027C577D6}"/>
    <cellStyle name="Normal 7 3" xfId="236" xr:uid="{00000000-0005-0000-0000-0000D9000000}"/>
    <cellStyle name="Normal 7 3 2" xfId="295" xr:uid="{00000000-0005-0000-0000-0000DA000000}"/>
    <cellStyle name="Normal 7 3 2 2" xfId="403" xr:uid="{BF8A4B40-8259-4FFA-B4BA-EB3DE39BDEB3}"/>
    <cellStyle name="Normal 7 3 2 2 2" xfId="612" xr:uid="{F230EC0C-F39C-421F-BE5C-774429BDA8DA}"/>
    <cellStyle name="Normal 7 3 2 3" xfId="505" xr:uid="{3B9E2E15-3003-4747-A975-9E8A46998AEB}"/>
    <cellStyle name="Normal 7 3 3" xfId="354" xr:uid="{9282326F-4E17-4FD3-9F93-68A28F6A7076}"/>
    <cellStyle name="Normal 7 3 3 2" xfId="563" xr:uid="{4E85982F-83C1-4563-82A2-06FBE6173E7C}"/>
    <cellStyle name="Normal 7 3 4" xfId="456" xr:uid="{AECD578B-0360-4C22-A710-15CA7D3E2AA6}"/>
    <cellStyle name="Normal 7 4" xfId="259" xr:uid="{00000000-0005-0000-0000-0000DB000000}"/>
    <cellStyle name="Normal 7 4 2" xfId="367" xr:uid="{33B4D13D-9ED2-40F5-84FD-76E8CB48424C}"/>
    <cellStyle name="Normal 7 4 2 2" xfId="576" xr:uid="{16FD7317-E73D-42DB-829D-FF0BF4C5BA19}"/>
    <cellStyle name="Normal 7 4 3" xfId="469" xr:uid="{2A1EB162-3A94-49B4-BD74-EFDE405077B5}"/>
    <cellStyle name="Normal 7 5" xfId="313" xr:uid="{18FF8569-CA75-47AB-A6AE-89B98A3D4DEE}"/>
    <cellStyle name="Normal 7 5 2" xfId="522" xr:uid="{496A5F09-20D7-4AE9-9CEA-15D67C6711E2}"/>
    <cellStyle name="Normal 7 6" xfId="419" xr:uid="{52470BDE-4D16-44C5-93BD-13DF7781BEB1}"/>
    <cellStyle name="Normal 8" xfId="47" xr:uid="{00000000-0005-0000-0000-0000DC000000}"/>
    <cellStyle name="Normal 8 2" xfId="21" xr:uid="{00000000-0005-0000-0000-0000DD000000}"/>
    <cellStyle name="Normal 8 2 2" xfId="238" xr:uid="{00000000-0005-0000-0000-0000DE000000}"/>
    <cellStyle name="Normal 8 2 2 2" xfId="296" xr:uid="{00000000-0005-0000-0000-0000DF000000}"/>
    <cellStyle name="Normal 8 2 2 2 2" xfId="404" xr:uid="{804867F7-E349-4E56-A2B2-CDD0316C200C}"/>
    <cellStyle name="Normal 8 2 2 2 2 2" xfId="613" xr:uid="{196FD1B0-D8B6-4BEC-B89D-09D913930857}"/>
    <cellStyle name="Normal 8 2 2 2 3" xfId="506" xr:uid="{879BD98E-2F81-49BA-B152-CBBEA2688A83}"/>
    <cellStyle name="Normal 8 2 2 3" xfId="355" xr:uid="{2641995E-50D0-499C-AF55-B1A69B0881F2}"/>
    <cellStyle name="Normal 8 2 2 3 2" xfId="564" xr:uid="{CBFA7616-E1A5-42FC-B184-9CA2CEC836C5}"/>
    <cellStyle name="Normal 8 2 2 4" xfId="457" xr:uid="{69F6B5D4-E5F6-49B9-860E-8892664108AA}"/>
    <cellStyle name="Normal 8 3" xfId="237" xr:uid="{00000000-0005-0000-0000-0000E0000000}"/>
    <cellStyle name="Normal 8 4" xfId="273" xr:uid="{00000000-0005-0000-0000-0000E1000000}"/>
    <cellStyle name="Normal 8 4 2" xfId="381" xr:uid="{A7728BC3-B2BC-4DF3-BD15-F248B2CC130C}"/>
    <cellStyle name="Normal 8 4 2 2" xfId="590" xr:uid="{748FCB87-3A6B-45F0-AFD2-6CCA5547F0BF}"/>
    <cellStyle name="Normal 8 4 3" xfId="483" xr:uid="{9CB98D6E-A2D9-4317-80CB-64E3EA10C4EB}"/>
    <cellStyle name="Normal 8 5" xfId="327" xr:uid="{5AB6ADB6-CA5B-42E4-82B4-2DFECA3C582B}"/>
    <cellStyle name="Normal 8 5 2" xfId="536" xr:uid="{58D73C82-7B6E-4D30-B283-C3B0C1B82CC9}"/>
    <cellStyle name="Normal 8 6" xfId="433" xr:uid="{DFFED277-3C86-4C39-96E7-AB2CD02E7A9D}"/>
    <cellStyle name="Normal 9" xfId="150" xr:uid="{00000000-0005-0000-0000-0000E2000000}"/>
    <cellStyle name="Option_Added_Cont_Desc" xfId="109" xr:uid="{00000000-0005-0000-0000-0000E3000000}"/>
    <cellStyle name="Percent [2]" xfId="110" xr:uid="{00000000-0005-0000-0000-0000E4000000}"/>
    <cellStyle name="Percent 2" xfId="22" xr:uid="{00000000-0005-0000-0000-0000E5000000}"/>
    <cellStyle name="Percent 2 2" xfId="189" xr:uid="{00000000-0005-0000-0000-0000E6000000}"/>
    <cellStyle name="Percent 2 3" xfId="239" xr:uid="{00000000-0005-0000-0000-0000E7000000}"/>
    <cellStyle name="Percent 2 3 2" xfId="297" xr:uid="{00000000-0005-0000-0000-0000E8000000}"/>
    <cellStyle name="Percent 2 3 2 2" xfId="405" xr:uid="{34D1017C-7A18-4A9D-9F13-E14E410D52E8}"/>
    <cellStyle name="Percent 2 3 2 2 2" xfId="614" xr:uid="{AC5B0417-AC5B-4F34-8DBF-1B59074FAFC5}"/>
    <cellStyle name="Percent 2 3 2 3" xfId="507" xr:uid="{9E9912C4-C8BA-486B-9DC8-2CCA91BB234B}"/>
    <cellStyle name="Percent 2 3 3" xfId="356" xr:uid="{0E975610-0CAB-4ABE-BF0B-A24D0D9AAF22}"/>
    <cellStyle name="Percent 2 3 3 2" xfId="565" xr:uid="{BA6E97EA-ECC4-4999-BE16-5870D582F174}"/>
    <cellStyle name="Percent 2 3 4" xfId="458" xr:uid="{C5DEE13D-9565-462F-9806-7673A75C4A71}"/>
    <cellStyle name="Percent 3" xfId="49" xr:uid="{00000000-0005-0000-0000-0000E9000000}"/>
    <cellStyle name="Percent 3 2" xfId="275" xr:uid="{00000000-0005-0000-0000-0000EA000000}"/>
    <cellStyle name="Percent 3 2 2" xfId="383" xr:uid="{E10411B8-D065-4E71-8A95-D8168FE70E9E}"/>
    <cellStyle name="Percent 3 2 2 2" xfId="592" xr:uid="{FFCA35C1-17FC-4D15-AF57-6D92B99C40B5}"/>
    <cellStyle name="Percent 3 2 3" xfId="485" xr:uid="{CFB5C2F7-A2C5-438C-9F19-B0CCDB95CADA}"/>
    <cellStyle name="Percent 3 3" xfId="329" xr:uid="{5963633C-2FB6-4ED4-A5A4-C033E93A1896}"/>
    <cellStyle name="Percent 3 3 2" xfId="538" xr:uid="{D95BD213-8278-4218-A5D4-4FAF9027E898}"/>
    <cellStyle name="Percent 3 4" xfId="435" xr:uid="{BE441DE8-650B-45A2-8264-556DDAA0CD00}"/>
    <cellStyle name="Percent 4" xfId="111" xr:uid="{00000000-0005-0000-0000-0000EB000000}"/>
    <cellStyle name="Percent 5" xfId="248" xr:uid="{00000000-0005-0000-0000-0000EC000000}"/>
    <cellStyle name="PERCENTAGE" xfId="112" xr:uid="{00000000-0005-0000-0000-0000ED000000}"/>
    <cellStyle name="Preliminary_Data" xfId="113" xr:uid="{00000000-0005-0000-0000-0000EE000000}"/>
    <cellStyle name="Prices_Data" xfId="114" xr:uid="{00000000-0005-0000-0000-0000EF000000}"/>
    <cellStyle name="subhead" xfId="115" xr:uid="{00000000-0005-0000-0000-0000F0000000}"/>
    <cellStyle name="Vehicle_Benchmark" xfId="116" xr:uid="{00000000-0005-0000-0000-0000F1000000}"/>
    <cellStyle name="Version_Header" xfId="117" xr:uid="{00000000-0005-0000-0000-0000F2000000}"/>
    <cellStyle name="Volumes_Data" xfId="118" xr:uid="{00000000-0005-0000-0000-0000F3000000}"/>
    <cellStyle name="ｹ鮗ﾐﾀｲ_ｰ豼ｵﾁ･" xfId="119" xr:uid="{00000000-0005-0000-0000-0000F4000000}"/>
    <cellStyle name="スタイル 1" xfId="120" xr:uid="{00000000-0005-0000-0000-0000F5000000}"/>
    <cellStyle name="ﾄﾞｸｶ [0]_ｰ霾ｹ" xfId="121" xr:uid="{00000000-0005-0000-0000-0000F6000000}"/>
    <cellStyle name="ﾄﾞｸｶ_ｰ霾ｹ" xfId="122" xr:uid="{00000000-0005-0000-0000-0000F7000000}"/>
    <cellStyle name="ﾅ・ｭ [0]_ｰ霾ｹ" xfId="123" xr:uid="{00000000-0005-0000-0000-0000F8000000}"/>
    <cellStyle name="ﾅ・ｭ_ｰ霾ｹ" xfId="124" xr:uid="{00000000-0005-0000-0000-0000F9000000}"/>
    <cellStyle name="ﾇ･ﾁﾘ_ｰ霾ｹ" xfId="125" xr:uid="{00000000-0005-0000-0000-0000FA000000}"/>
    <cellStyle name="パーセント 2" xfId="126" xr:uid="{00000000-0005-0000-0000-0000FB000000}"/>
    <cellStyle name="パーセント 3" xfId="190" xr:uid="{00000000-0005-0000-0000-0000FC000000}"/>
    <cellStyle name="パーセント(&quot;-&quot;)" xfId="191" xr:uid="{00000000-0005-0000-0000-0000FD000000}"/>
    <cellStyle name="ปกติ 2" xfId="127" xr:uid="{00000000-0005-0000-0000-0000FE000000}"/>
    <cellStyle name="ปกติ 3" xfId="128" xr:uid="{00000000-0005-0000-0000-0000FF000000}"/>
    <cellStyle name="ปกติ 4" xfId="129" xr:uid="{00000000-0005-0000-0000-000000010000}"/>
    <cellStyle name="ปกติ 5" xfId="130" xr:uid="{00000000-0005-0000-0000-000001010000}"/>
    <cellStyle name="ปกติ 6" xfId="131" xr:uid="{00000000-0005-0000-0000-000002010000}"/>
    <cellStyle name="ปกติ 7" xfId="132" xr:uid="{00000000-0005-0000-0000-000003010000}"/>
    <cellStyle name="ปกติ_assyfeb" xfId="133" xr:uid="{00000000-0005-0000-0000-000004010000}"/>
    <cellStyle name="?_" xfId="134" xr:uid="{00000000-0005-0000-0000-000005010000}"/>
    <cellStyle name="똿뗦먛귟_PRODUCT DETAIL Q1" xfId="192" xr:uid="{00000000-0005-0000-0000-000006010000}"/>
    <cellStyle name="믅됞 [0.00]_PRODUCT DETAIL Q1" xfId="193" xr:uid="{00000000-0005-0000-0000-000007010000}"/>
    <cellStyle name="믅됞_PRODUCT DETAIL Q1" xfId="194" xr:uid="{00000000-0005-0000-0000-000008010000}"/>
    <cellStyle name="뷭?_BOOKSHIP" xfId="195" xr:uid="{00000000-0005-0000-0000-000009010000}"/>
    <cellStyle name="콤마 [0]_~0005685" xfId="196" xr:uid="{00000000-0005-0000-0000-00000A010000}"/>
    <cellStyle name="콤마_~0005685" xfId="197" xr:uid="{00000000-0005-0000-0000-00000B010000}"/>
    <cellStyle name="一般_BOSCH-86" xfId="135" xr:uid="{00000000-0005-0000-0000-00000C010000}"/>
    <cellStyle name="千分位[0]_BOSCH-86" xfId="136" xr:uid="{00000000-0005-0000-0000-00000D010000}"/>
    <cellStyle name="千分位_BOSCH-86" xfId="137" xr:uid="{00000000-0005-0000-0000-00000E010000}"/>
    <cellStyle name="常规_03实绩-08年预测" xfId="198" xr:uid="{00000000-0005-0000-0000-00000F010000}"/>
    <cellStyle name="年月" xfId="199" xr:uid="{00000000-0005-0000-0000-000010010000}"/>
    <cellStyle name="未定義" xfId="138" xr:uid="{00000000-0005-0000-0000-000011010000}"/>
    <cellStyle name="桁区切り [0.00] 2" xfId="200" xr:uid="{00000000-0005-0000-0000-000012010000}"/>
    <cellStyle name="桁区切り [0.00] 3" xfId="616" xr:uid="{AB9B9E60-2A37-4731-ACF8-FB2592E9188C}"/>
    <cellStyle name="桁区切り 2" xfId="23" xr:uid="{00000000-0005-0000-0000-000013010000}"/>
    <cellStyle name="桁区切り 2 2" xfId="240" xr:uid="{00000000-0005-0000-0000-000014010000}"/>
    <cellStyle name="桁区切り 3" xfId="139" xr:uid="{00000000-0005-0000-0000-000015010000}"/>
    <cellStyle name="桁区切り 3 2" xfId="332" xr:uid="{98EEE92B-42EE-42B8-992C-80D48D08FE0F}"/>
    <cellStyle name="桁区切り 3 2 2" xfId="541" xr:uid="{D5354ADA-D25A-4B41-9A6E-0761698D8B59}"/>
    <cellStyle name="桁区切り 4" xfId="140" xr:uid="{00000000-0005-0000-0000-000016010000}"/>
    <cellStyle name="桁区切り 4 2" xfId="333" xr:uid="{70453216-9D4B-4EF7-BABD-AF957575BE9E}"/>
    <cellStyle name="桁区切り 4 2 2" xfId="542" xr:uid="{080D4BC5-16D3-443A-B197-9B512BE8F746}"/>
    <cellStyle name="桁区切り(&quot;-&quot;)" xfId="201" xr:uid="{00000000-0005-0000-0000-000017010000}"/>
    <cellStyle name="桁蟻唇Ｆ [0.00]_11th Dec. (2)" xfId="141" xr:uid="{00000000-0005-0000-0000-000018010000}"/>
    <cellStyle name="桁蟻唇Ｆ_11th Dec. (2)" xfId="142" xr:uid="{00000000-0005-0000-0000-000019010000}"/>
    <cellStyle name="標準 2" xfId="5" xr:uid="{00000000-0005-0000-0000-00001A010000}"/>
    <cellStyle name="標準 2 2" xfId="13" xr:uid="{00000000-0005-0000-0000-00001B010000}"/>
    <cellStyle name="標準 2 2 2" xfId="243" xr:uid="{00000000-0005-0000-0000-00001C010000}"/>
    <cellStyle name="標準 2 2 3" xfId="244" xr:uid="{00000000-0005-0000-0000-00001D010000}"/>
    <cellStyle name="標準 2 2 4" xfId="242" xr:uid="{00000000-0005-0000-0000-00001E010000}"/>
    <cellStyle name="標準 2 3" xfId="245" xr:uid="{00000000-0005-0000-0000-00001F010000}"/>
    <cellStyle name="標準 2 4" xfId="246" xr:uid="{00000000-0005-0000-0000-000020010000}"/>
    <cellStyle name="標準 2 5" xfId="241" xr:uid="{00000000-0005-0000-0000-000021010000}"/>
    <cellStyle name="標準 2_勘定科目表" xfId="202" xr:uid="{00000000-0005-0000-0000-000022010000}"/>
    <cellStyle name="標準 3" xfId="143" xr:uid="{00000000-0005-0000-0000-000023010000}"/>
    <cellStyle name="標準 3 2" xfId="247" xr:uid="{00000000-0005-0000-0000-000024010000}"/>
    <cellStyle name="標準 4" xfId="144" xr:uid="{00000000-0005-0000-0000-000025010000}"/>
    <cellStyle name="無表示" xfId="203" xr:uid="{00000000-0005-0000-0000-000026010000}"/>
    <cellStyle name="脱浦 [0.00]_11th Dec. (2)" xfId="145" xr:uid="{00000000-0005-0000-0000-000027010000}"/>
    <cellStyle name="脱浦_11th Dec. (2)" xfId="146" xr:uid="{00000000-0005-0000-0000-000028010000}"/>
    <cellStyle name="貨幣 [0]_BOSCH-86" xfId="147" xr:uid="{00000000-0005-0000-0000-000029010000}"/>
    <cellStyle name="貨幣[0]_RCP" xfId="148" xr:uid="{00000000-0005-0000-0000-00002A010000}"/>
    <cellStyle name="貨幣_BOSCH-86" xfId="149" xr:uid="{00000000-0005-0000-0000-00002B010000}"/>
  </cellStyles>
  <dxfs count="0"/>
  <tableStyles count="0" defaultTableStyle="TableStyleMedium2" defaultPivotStyle="PivotStyleLight16"/>
  <colors>
    <mruColors>
      <color rgb="FFFF66FF"/>
      <color rgb="FFDAEEF3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382681</xdr:colOff>
      <xdr:row>0</xdr:row>
      <xdr:rowOff>132229</xdr:rowOff>
    </xdr:from>
    <xdr:to>
      <xdr:col>34</xdr:col>
      <xdr:colOff>3495100</xdr:colOff>
      <xdr:row>4</xdr:row>
      <xdr:rowOff>287803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4AD7256-7ED4-4C5E-919E-47DD2C87F82A}"/>
            </a:ext>
          </a:extLst>
        </xdr:cNvPr>
        <xdr:cNvSpPr/>
      </xdr:nvSpPr>
      <xdr:spPr bwMode="auto">
        <a:xfrm>
          <a:off x="28309981" y="132229"/>
          <a:ext cx="5322219" cy="793749"/>
        </a:xfrm>
        <a:prstGeom prst="rect">
          <a:avLst/>
        </a:prstGeom>
        <a:solidFill>
          <a:srgbClr val="FFFF00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l"/>
          <a:r>
            <a:rPr kumimoji="1" lang="en-US" altLang="ja-JP" sz="1400" b="1">
              <a:solidFill>
                <a:sysClr val="windowText" lastClr="000000"/>
              </a:solidFill>
            </a:rPr>
            <a:t>Fukushima</a:t>
          </a:r>
          <a:r>
            <a:rPr kumimoji="1" lang="ja-JP" altLang="en-US" sz="1400" b="1">
              <a:solidFill>
                <a:sysClr val="windowText" lastClr="000000"/>
              </a:solidFill>
            </a:rPr>
            <a:t>　</a:t>
          </a:r>
          <a:r>
            <a:rPr kumimoji="1" lang="en-US" altLang="ja-JP" sz="1400" b="1">
              <a:solidFill>
                <a:sysClr val="windowText" lastClr="000000"/>
              </a:solidFill>
            </a:rPr>
            <a:t>comment</a:t>
          </a:r>
          <a:r>
            <a:rPr kumimoji="1" lang="ja-JP" altLang="en-US" sz="1400" b="1">
              <a:solidFill>
                <a:sysClr val="windowText" lastClr="000000"/>
              </a:solidFill>
            </a:rPr>
            <a:t> </a:t>
          </a:r>
          <a:r>
            <a:rPr kumimoji="1" lang="en-US" altLang="ja-JP" sz="1400" b="1">
              <a:solidFill>
                <a:sysClr val="windowText" lastClr="000000"/>
              </a:solidFill>
            </a:rPr>
            <a:t>24-Nov</a:t>
          </a:r>
        </a:p>
        <a:p>
          <a:pPr algn="l"/>
          <a:r>
            <a:rPr kumimoji="1" lang="en-US" altLang="ja-JP" sz="1400" b="1">
              <a:solidFill>
                <a:sysClr val="windowText" lastClr="000000"/>
              </a:solidFill>
            </a:rPr>
            <a:t>1.26</a:t>
          </a:r>
          <a:r>
            <a:rPr kumimoji="1" lang="ja-JP" altLang="en-US" sz="1400" b="1">
              <a:solidFill>
                <a:sysClr val="windowText" lastClr="000000"/>
              </a:solidFill>
            </a:rPr>
            <a:t>年度以降は新レートで計算し直しました。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pPr algn="l"/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5</xdr:col>
      <xdr:colOff>1874413</xdr:colOff>
      <xdr:row>167</xdr:row>
      <xdr:rowOff>1410</xdr:rowOff>
    </xdr:from>
    <xdr:ext cx="1480213" cy="28020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189BF5C-71AA-4BA6-958C-3CD8A2BA004B}"/>
            </a:ext>
          </a:extLst>
        </xdr:cNvPr>
        <xdr:cNvSpPr/>
      </xdr:nvSpPr>
      <xdr:spPr>
        <a:xfrm>
          <a:off x="7694188" y="1887360"/>
          <a:ext cx="1480213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1" cap="none" spc="0">
              <a:ln w="0"/>
              <a:solidFill>
                <a:schemeClr val="tx1"/>
              </a:solidFill>
              <a:effectLst/>
            </a:rPr>
            <a:t>DONE, 29 April</a:t>
          </a:r>
          <a:r>
            <a:rPr lang="en-US" sz="1200" b="1" cap="none" spc="0" baseline="0">
              <a:ln w="0"/>
              <a:solidFill>
                <a:schemeClr val="tx1"/>
              </a:solidFill>
              <a:effectLst/>
            </a:rPr>
            <a:t> 2026</a:t>
          </a:r>
          <a:endParaRPr lang="en-US" sz="1200" b="1" cap="none" spc="0">
            <a:ln w="0"/>
            <a:solidFill>
              <a:schemeClr val="tx1"/>
            </a:solidFill>
            <a:effectLst/>
          </a:endParaRPr>
        </a:p>
      </xdr:txBody>
    </xdr:sp>
    <xdr:clientData/>
  </xdr:oneCellAnchor>
  <xdr:oneCellAnchor>
    <xdr:from>
      <xdr:col>5</xdr:col>
      <xdr:colOff>1380431</xdr:colOff>
      <xdr:row>168</xdr:row>
      <xdr:rowOff>308737</xdr:rowOff>
    </xdr:from>
    <xdr:ext cx="1379608" cy="280205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920E9A5-69DD-406A-8BC1-69E378E1E148}"/>
            </a:ext>
          </a:extLst>
        </xdr:cNvPr>
        <xdr:cNvSpPr/>
      </xdr:nvSpPr>
      <xdr:spPr>
        <a:xfrm>
          <a:off x="7200206" y="2442337"/>
          <a:ext cx="1379608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1" cap="none" spc="0">
              <a:ln w="0"/>
              <a:solidFill>
                <a:schemeClr val="tx1"/>
              </a:solidFill>
              <a:effectLst/>
            </a:rPr>
            <a:t>DONE, 5</a:t>
          </a:r>
          <a:r>
            <a:rPr lang="en-US" sz="1200" b="1" cap="none" spc="0" baseline="0">
              <a:ln w="0"/>
              <a:solidFill>
                <a:schemeClr val="tx1"/>
              </a:solidFill>
              <a:effectLst/>
            </a:rPr>
            <a:t> May 2026</a:t>
          </a:r>
          <a:endParaRPr lang="en-US" sz="1200" b="1" cap="none" spc="0">
            <a:ln w="0"/>
            <a:solidFill>
              <a:schemeClr val="tx1"/>
            </a:solidFill>
            <a:effectLst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527115</xdr:colOff>
          <xdr:row>221</xdr:row>
          <xdr:rowOff>142875</xdr:rowOff>
        </xdr:from>
        <xdr:to>
          <xdr:col>35</xdr:col>
          <xdr:colOff>762000</xdr:colOff>
          <xdr:row>228</xdr:row>
          <xdr:rowOff>114300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01DC3603-9509-7A03-0067-3B781E48F6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G$232:$AI$237" spid="_x0000_s8284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454415" y="11849100"/>
              <a:ext cx="4273485" cy="1219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6</xdr:col>
      <xdr:colOff>352426</xdr:colOff>
      <xdr:row>226</xdr:row>
      <xdr:rowOff>95249</xdr:rowOff>
    </xdr:from>
    <xdr:ext cx="4791074" cy="609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090F4E-13A3-678E-BEF4-3312A24ECA72}"/>
            </a:ext>
          </a:extLst>
        </xdr:cNvPr>
        <xdr:cNvSpPr txBox="1"/>
      </xdr:nvSpPr>
      <xdr:spPr>
        <a:xfrm>
          <a:off x="8001001" y="12744449"/>
          <a:ext cx="4791074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ID" sz="1100" b="1">
              <a:solidFill>
                <a:srgbClr val="FF0000"/>
              </a:solidFill>
            </a:rPr>
            <a:t>Balanchin</a:t>
          </a:r>
          <a:r>
            <a:rPr lang="en-ID" sz="1100" b="1" baseline="0">
              <a:solidFill>
                <a:srgbClr val="FF0000"/>
              </a:solidFill>
            </a:rPr>
            <a:t>g to CCTV (112.5000.000)</a:t>
          </a:r>
        </a:p>
        <a:p>
          <a:pPr algn="r"/>
          <a:r>
            <a:rPr lang="en-ID" sz="1100" baseline="0"/>
            <a:t>Pakai Akun PC AIO Aritonang (26F02 No. Item 2) Rp. 12.500.000</a:t>
          </a:r>
        </a:p>
        <a:p>
          <a:pPr algn="r"/>
          <a:r>
            <a:rPr lang="en-ID" sz="1100" baseline="0"/>
            <a:t>Workstation Teknikal (26F06 No. Iteam 8) Rp. 100.000.000 </a:t>
          </a:r>
          <a:endParaRPr lang="en-ID" sz="1100"/>
        </a:p>
      </xdr:txBody>
    </xdr:sp>
    <xdr:clientData/>
  </xdr:oneCellAnchor>
  <xdr:oneCellAnchor>
    <xdr:from>
      <xdr:col>6</xdr:col>
      <xdr:colOff>352426</xdr:colOff>
      <xdr:row>223</xdr:row>
      <xdr:rowOff>228599</xdr:rowOff>
    </xdr:from>
    <xdr:ext cx="4791074" cy="436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147AEB-9EB0-4D05-3A72-B94D24A353B3}"/>
            </a:ext>
          </a:extLst>
        </xdr:cNvPr>
        <xdr:cNvSpPr txBox="1"/>
      </xdr:nvSpPr>
      <xdr:spPr>
        <a:xfrm>
          <a:off x="8001001" y="12296774"/>
          <a:ext cx="479107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ID" sz="1100" b="1">
              <a:solidFill>
                <a:srgbClr val="FF0000"/>
              </a:solidFill>
            </a:rPr>
            <a:t>Balanchin</a:t>
          </a:r>
          <a:r>
            <a:rPr lang="en-ID" sz="1100" b="1" baseline="0">
              <a:solidFill>
                <a:srgbClr val="FF0000"/>
              </a:solidFill>
            </a:rPr>
            <a:t>g to SWITCH GADL 2005 &amp; 2006 (24.426.200)</a:t>
          </a:r>
        </a:p>
        <a:p>
          <a:pPr algn="r"/>
          <a:r>
            <a:rPr lang="en-ID" sz="1100" baseline="0"/>
            <a:t>Pakai Akun TV Monitor (26F04 No. Item 1) Rp. 24.426.200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g102s\05-&#35946;&#20124;&#35506;\My%20Documents\KOITO%20EUROPE%20LIMITED\&#32076;&#29702;\&#20250;&#35336;&#30435;&#26619;\99&#24180;12&#26376;&#27770;&#31639;\&#26368;&#32066;&#36039;&#26009;\&#65323;&#65317;&#65324;&#65305;&#65305;&#24180;&#24230;&#65343;&#65328;&#65324;&#65286;&#65314;&#65331;&#20998;&#26512;(&#20840;&#12497;&#12483;&#12463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ＢＳ(詳細)"/>
      <sheetName val="ＢＳ(増減説明)"/>
      <sheetName val="1999年ＰＬ(詳細) "/>
      <sheetName val="増減益要因"/>
      <sheetName val="売上分析"/>
      <sheetName val="付加価値分析"/>
      <sheetName val="車種別売上"/>
      <sheetName val="Sales　Summery"/>
      <sheetName val="車種別付加価値"/>
      <sheetName val="会計Ｍｅｅｔｉｎｇ"/>
      <sheetName val="Q&amp;A(3)"/>
      <sheetName val="小糸債務確認"/>
      <sheetName val="製品別不良金額"/>
      <sheetName val="設備投資状況"/>
      <sheetName val="人員推移"/>
      <sheetName val="ＯＨ費用明細(SIG)"/>
      <sheetName val="OH費用明細(KGBP)"/>
      <sheetName val="不良"/>
      <sheetName val="新規取得設備"/>
      <sheetName val="除却設備一覧"/>
      <sheetName val="価格差異"/>
      <sheetName val="新製品損益"/>
      <sheetName val="Sheet3"/>
      <sheetName val="Sheet2"/>
      <sheetName val="Sheet1"/>
      <sheetName val="FORECAST"/>
      <sheetName val="CSM with CKD"/>
      <sheetName val="MOTO"/>
      <sheetName val="EXPENSE 2018"/>
      <sheetName val="Expenses"/>
      <sheetName val="Calculating HC (3)"/>
      <sheetName val="Calculating HC (2)"/>
      <sheetName val="Recruitment Calendar"/>
      <sheetName val="Socioeconomic"/>
      <sheetName val="Union Recruitmet Calendar 18"/>
      <sheetName val="Expense Per Concept"/>
      <sheetName val="Scholarship"/>
      <sheetName val="Stage"/>
      <sheetName val="Work Paper Budget 2018"/>
      <sheetName val="History Journal (2)"/>
      <sheetName val="KPI"/>
      <sheetName val="History Journal"/>
      <sheetName val="Union Recruitmet Calendar 19"/>
      <sheetName val="EXPENSE 2019"/>
      <sheetName val="EXPENSE 2019 (2)"/>
      <sheetName val="EXPENSE 2019 (T)"/>
      <sheetName val="EXPENSE 2019-2020"/>
      <sheetName val="HP"/>
      <sheetName val="MP Dec 2019-Dec 2020"/>
      <sheetName val="CBD Kolben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IK IT Department" id="{DF850930-D3E8-4E75-B737-9E54C9EDC257}" userId="S::it.dept@ikoito.co.id::dac3a1dd-6d4c-40f8-8156-dff11013b13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rtlCol="0" anchor="ctr" upright="1"/>
      <a:lstStyle>
        <a:defPPr algn="l">
          <a:defRPr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45" dT="2024-11-06T09:28:50.31" personId="{DF850930-D3E8-4E75-B737-9E54C9EDC257}" id="{04253E46-9A79-4F1B-A47C-41F5E335C56C}">
    <text>TBC Price</text>
  </threadedComment>
  <threadedComment ref="P147" dT="2024-11-06T09:28:50.31" personId="{DF850930-D3E8-4E75-B737-9E54C9EDC257}" id="{01624552-00C2-4EB7-93EB-16F655822D5E}">
    <text>TBC Price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00E7-31A0-4F49-8AD6-1E95E475F677}">
  <sheetPr>
    <tabColor rgb="FFFFFF00"/>
    <pageSetUpPr fitToPage="1"/>
  </sheetPr>
  <dimension ref="A1:AK237"/>
  <sheetViews>
    <sheetView showGridLines="0" tabSelected="1" view="pageBreakPreview" zoomScale="70" zoomScaleNormal="46" zoomScaleSheetLayoutView="70" workbookViewId="0">
      <pane xSplit="6" ySplit="166" topLeftCell="G186" activePane="bottomRight" state="frozen"/>
      <selection pane="topRight" activeCell="G1" sqref="G1"/>
      <selection pane="bottomLeft" activeCell="A167" sqref="A167"/>
      <selection pane="bottomRight" activeCell="F214" sqref="F214"/>
    </sheetView>
  </sheetViews>
  <sheetFormatPr defaultColWidth="9" defaultRowHeight="12"/>
  <cols>
    <col min="1" max="1" width="10.625" style="41" customWidth="1"/>
    <col min="2" max="2" width="15.125" style="42" customWidth="1"/>
    <col min="3" max="3" width="11.25" style="43" customWidth="1"/>
    <col min="4" max="4" width="12.375" style="43" customWidth="1"/>
    <col min="5" max="5" width="4.375" style="76" bestFit="1" customWidth="1"/>
    <col min="6" max="6" width="46.625" style="42" customWidth="1"/>
    <col min="7" max="8" width="10.625" style="42" customWidth="1"/>
    <col min="9" max="9" width="5.625" style="41" customWidth="1"/>
    <col min="10" max="10" width="10.625" style="42" customWidth="1"/>
    <col min="11" max="11" width="7" style="42" customWidth="1"/>
    <col min="12" max="12" width="7" style="44" customWidth="1"/>
    <col min="13" max="13" width="15.875" style="44" customWidth="1"/>
    <col min="14" max="14" width="15.625" style="44" customWidth="1"/>
    <col min="15" max="15" width="5.625" style="44" customWidth="1"/>
    <col min="16" max="16" width="12.625" style="44" customWidth="1"/>
    <col min="17" max="19" width="10.625" style="45" customWidth="1"/>
    <col min="20" max="20" width="14.375" style="41" customWidth="1"/>
    <col min="21" max="21" width="10.75" style="41" customWidth="1"/>
    <col min="22" max="22" width="10.375" style="44" customWidth="1"/>
    <col min="23" max="23" width="10.625" style="45" customWidth="1"/>
    <col min="24" max="25" width="5.625" style="45" customWidth="1"/>
    <col min="26" max="26" width="10.625" style="45" customWidth="1"/>
    <col min="27" max="28" width="5.625" style="45" customWidth="1"/>
    <col min="29" max="29" width="10.625" style="45" customWidth="1"/>
    <col min="30" max="30" width="10.625" style="41" customWidth="1"/>
    <col min="31" max="32" width="10.625" style="45" customWidth="1"/>
    <col min="33" max="33" width="15.125" style="46" customWidth="1"/>
    <col min="34" max="34" width="13.375" style="45" customWidth="1"/>
    <col min="35" max="35" width="13.875" style="45" customWidth="1"/>
    <col min="36" max="36" width="76" style="45" bestFit="1" customWidth="1"/>
    <col min="37" max="37" width="55.125" style="45" bestFit="1" customWidth="1"/>
    <col min="38" max="16384" width="9" style="45"/>
  </cols>
  <sheetData>
    <row r="1" spans="1:34" ht="13.5" customHeight="1" thickBot="1">
      <c r="A1" s="400" t="s">
        <v>259</v>
      </c>
      <c r="B1" s="401"/>
      <c r="C1" s="401"/>
      <c r="D1" s="401"/>
      <c r="E1" s="401"/>
      <c r="F1" s="401"/>
      <c r="G1" s="108"/>
      <c r="H1" s="108"/>
      <c r="I1" s="109"/>
      <c r="J1" s="108"/>
      <c r="K1" s="108"/>
      <c r="L1" s="110"/>
      <c r="M1" s="110"/>
      <c r="N1" s="111" t="s">
        <v>260</v>
      </c>
      <c r="O1" s="112">
        <v>112.5</v>
      </c>
      <c r="P1" s="113" t="s">
        <v>7</v>
      </c>
      <c r="Q1" s="114"/>
      <c r="R1" s="114"/>
      <c r="S1" s="114"/>
      <c r="T1" s="109"/>
      <c r="U1" s="109"/>
      <c r="V1" s="110"/>
      <c r="W1" s="114"/>
      <c r="X1" s="114"/>
      <c r="Y1" s="114"/>
      <c r="Z1" s="114"/>
      <c r="AA1" s="114"/>
      <c r="AB1" s="114"/>
      <c r="AC1" s="114"/>
      <c r="AD1" s="109"/>
      <c r="AE1" s="236"/>
    </row>
    <row r="2" spans="1:34" ht="12.75" customHeight="1" thickBot="1">
      <c r="A2" s="402"/>
      <c r="B2" s="403"/>
      <c r="C2" s="403"/>
      <c r="D2" s="403"/>
      <c r="E2" s="403"/>
      <c r="F2" s="403"/>
      <c r="L2" s="115"/>
      <c r="M2" s="115"/>
      <c r="N2" s="116" t="s">
        <v>9</v>
      </c>
      <c r="O2" s="112">
        <v>16731</v>
      </c>
      <c r="P2" s="117" t="s">
        <v>7</v>
      </c>
      <c r="V2" s="115"/>
      <c r="AE2" s="237"/>
    </row>
    <row r="3" spans="1:34">
      <c r="A3" s="47" t="s">
        <v>261</v>
      </c>
      <c r="B3" s="48"/>
      <c r="C3" s="48"/>
      <c r="D3" s="48"/>
      <c r="E3" s="49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9"/>
      <c r="U3" s="49"/>
      <c r="V3" s="48"/>
      <c r="W3" s="48"/>
      <c r="X3" s="48"/>
      <c r="Y3" s="48"/>
      <c r="Z3" s="48"/>
      <c r="AA3" s="48"/>
      <c r="AB3" s="48"/>
      <c r="AC3" s="48"/>
      <c r="AD3" s="49"/>
      <c r="AE3" s="50"/>
      <c r="AF3" s="333"/>
    </row>
    <row r="4" spans="1:34">
      <c r="A4" s="51" t="s">
        <v>262</v>
      </c>
      <c r="B4" s="52"/>
      <c r="C4" s="52"/>
      <c r="D4" s="53"/>
      <c r="E4" s="54"/>
      <c r="F4" s="55" t="s">
        <v>263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158"/>
      <c r="U4" s="158"/>
      <c r="V4" s="55"/>
      <c r="W4" s="55"/>
      <c r="X4" s="55"/>
      <c r="Y4" s="55"/>
      <c r="Z4" s="55"/>
      <c r="AA4" s="55"/>
      <c r="AB4" s="55"/>
      <c r="AC4" s="55"/>
      <c r="AD4" s="158"/>
      <c r="AE4" s="56"/>
      <c r="AF4" s="334"/>
    </row>
    <row r="5" spans="1:34" ht="24">
      <c r="A5" s="404" t="s">
        <v>10</v>
      </c>
      <c r="B5" s="380" t="s">
        <v>264</v>
      </c>
      <c r="C5" s="407" t="s">
        <v>265</v>
      </c>
      <c r="D5" s="409" t="s">
        <v>266</v>
      </c>
      <c r="E5" s="411" t="s">
        <v>267</v>
      </c>
      <c r="F5" s="380" t="s">
        <v>268</v>
      </c>
      <c r="G5" s="57" t="s">
        <v>269</v>
      </c>
      <c r="H5" s="58" t="s">
        <v>270</v>
      </c>
      <c r="I5" s="369" t="s">
        <v>271</v>
      </c>
      <c r="J5" s="380" t="s">
        <v>272</v>
      </c>
      <c r="K5" s="381" t="s">
        <v>273</v>
      </c>
      <c r="L5" s="384" t="s">
        <v>274</v>
      </c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6"/>
      <c r="AF5" s="335"/>
    </row>
    <row r="6" spans="1:34" ht="24">
      <c r="A6" s="405"/>
      <c r="B6" s="373"/>
      <c r="C6" s="408"/>
      <c r="D6" s="410"/>
      <c r="E6" s="412"/>
      <c r="F6" s="373"/>
      <c r="G6" s="59" t="s">
        <v>275</v>
      </c>
      <c r="H6" s="60" t="s">
        <v>276</v>
      </c>
      <c r="I6" s="379"/>
      <c r="J6" s="373"/>
      <c r="K6" s="382"/>
      <c r="L6" s="387" t="s">
        <v>277</v>
      </c>
      <c r="M6" s="388"/>
      <c r="N6" s="389"/>
      <c r="O6" s="377" t="s">
        <v>278</v>
      </c>
      <c r="P6" s="380" t="s">
        <v>279</v>
      </c>
      <c r="Q6" s="380" t="s">
        <v>280</v>
      </c>
      <c r="R6" s="369" t="s">
        <v>281</v>
      </c>
      <c r="S6" s="414" t="s">
        <v>282</v>
      </c>
      <c r="T6" s="416" t="s">
        <v>283</v>
      </c>
      <c r="U6" s="416"/>
      <c r="V6" s="416"/>
      <c r="W6" s="416"/>
      <c r="X6" s="416"/>
      <c r="Y6" s="416"/>
      <c r="Z6" s="416"/>
      <c r="AA6" s="416"/>
      <c r="AB6" s="416"/>
      <c r="AC6" s="416"/>
      <c r="AD6" s="393" t="s">
        <v>284</v>
      </c>
      <c r="AE6" s="395" t="s">
        <v>285</v>
      </c>
      <c r="AF6" s="336"/>
      <c r="AG6" s="391"/>
      <c r="AH6" s="392"/>
    </row>
    <row r="7" spans="1:34" s="63" customFormat="1" ht="24">
      <c r="A7" s="405"/>
      <c r="B7" s="373"/>
      <c r="C7" s="61" t="s">
        <v>286</v>
      </c>
      <c r="D7" s="62" t="s">
        <v>286</v>
      </c>
      <c r="E7" s="412"/>
      <c r="F7" s="373"/>
      <c r="G7" s="373" t="s">
        <v>287</v>
      </c>
      <c r="H7" s="373" t="s">
        <v>0</v>
      </c>
      <c r="I7" s="379"/>
      <c r="J7" s="373"/>
      <c r="K7" s="382"/>
      <c r="L7" s="375" t="s">
        <v>288</v>
      </c>
      <c r="M7" s="377" t="s">
        <v>289</v>
      </c>
      <c r="N7" s="377" t="s">
        <v>290</v>
      </c>
      <c r="O7" s="390"/>
      <c r="P7" s="373"/>
      <c r="Q7" s="373"/>
      <c r="R7" s="379"/>
      <c r="S7" s="415"/>
      <c r="T7" s="367" t="s">
        <v>291</v>
      </c>
      <c r="U7" s="369" t="s">
        <v>1</v>
      </c>
      <c r="V7" s="371" t="s">
        <v>292</v>
      </c>
      <c r="W7" s="369" t="s">
        <v>293</v>
      </c>
      <c r="X7" s="369" t="s">
        <v>2</v>
      </c>
      <c r="Y7" s="371" t="s">
        <v>3</v>
      </c>
      <c r="Z7" s="369" t="s">
        <v>294</v>
      </c>
      <c r="AA7" s="369" t="s">
        <v>4</v>
      </c>
      <c r="AB7" s="371" t="s">
        <v>3</v>
      </c>
      <c r="AC7" s="369" t="s">
        <v>295</v>
      </c>
      <c r="AD7" s="394"/>
      <c r="AE7" s="396"/>
      <c r="AF7" s="336"/>
      <c r="AG7" s="391"/>
      <c r="AH7" s="392"/>
    </row>
    <row r="8" spans="1:34" s="63" customFormat="1" ht="12" customHeight="1" thickBot="1">
      <c r="A8" s="406"/>
      <c r="B8" s="374"/>
      <c r="C8" s="64" t="s">
        <v>296</v>
      </c>
      <c r="D8" s="65" t="s">
        <v>296</v>
      </c>
      <c r="E8" s="413"/>
      <c r="F8" s="374"/>
      <c r="G8" s="374"/>
      <c r="H8" s="374"/>
      <c r="I8" s="370"/>
      <c r="J8" s="374"/>
      <c r="K8" s="383"/>
      <c r="L8" s="376"/>
      <c r="M8" s="378"/>
      <c r="N8" s="378"/>
      <c r="O8" s="378"/>
      <c r="P8" s="66" t="s">
        <v>296</v>
      </c>
      <c r="Q8" s="67" t="s">
        <v>297</v>
      </c>
      <c r="R8" s="68" t="s">
        <v>297</v>
      </c>
      <c r="S8" s="67" t="s">
        <v>297</v>
      </c>
      <c r="T8" s="368"/>
      <c r="U8" s="370"/>
      <c r="V8" s="372"/>
      <c r="W8" s="370"/>
      <c r="X8" s="370"/>
      <c r="Y8" s="372"/>
      <c r="Z8" s="370"/>
      <c r="AA8" s="370"/>
      <c r="AB8" s="372"/>
      <c r="AC8" s="370"/>
      <c r="AD8" s="69" t="s">
        <v>297</v>
      </c>
      <c r="AE8" s="70" t="s">
        <v>297</v>
      </c>
      <c r="AF8" s="336"/>
      <c r="AG8" s="391"/>
      <c r="AH8" s="392"/>
    </row>
    <row r="9" spans="1:34" s="21" customFormat="1" ht="14.45" hidden="1" customHeight="1" thickBot="1">
      <c r="A9" s="1" t="s">
        <v>11</v>
      </c>
      <c r="B9" s="3"/>
      <c r="C9" s="4"/>
      <c r="D9" s="4"/>
      <c r="E9" s="6"/>
      <c r="F9" s="7"/>
      <c r="G9" s="8"/>
      <c r="H9" s="9"/>
      <c r="I9" s="10"/>
      <c r="J9" s="11"/>
      <c r="K9" s="12"/>
      <c r="L9" s="13"/>
      <c r="M9" s="13"/>
      <c r="N9" s="14"/>
      <c r="O9" s="15"/>
      <c r="P9" s="15"/>
      <c r="Q9" s="16"/>
      <c r="R9" s="16"/>
      <c r="S9" s="16"/>
      <c r="T9" s="11"/>
      <c r="U9" s="213" t="str">
        <f>IF(ISBLANK(Q9),"",IF(LEFT(T9,2)="一括",IF(T9="一括(検収時)",S9,R9),Q9))</f>
        <v/>
      </c>
      <c r="V9" s="18" t="str">
        <f>IF(ISBLANK(T9),"",L9)</f>
        <v/>
      </c>
      <c r="W9" s="19" t="str">
        <f>IF(ISBLANK(T9),"",IF(LEFT(T9,2)="一括",N9,IF(T9="DP2(30/70%)",N9*0.3,IF(T9="DP3(30/40/30%)",N9*0.3))))</f>
        <v/>
      </c>
      <c r="X9" s="17" t="str">
        <f>IF(LEFT(T9,2)="一括","",IF(T9="DP2(30/70%)",S9,IF(T9="DP3(30/40/30%)",R9,"")))</f>
        <v/>
      </c>
      <c r="Y9" s="18" t="str">
        <f>IF(LEFT(T9,2)="一括","",V9)</f>
        <v/>
      </c>
      <c r="Z9" s="19" t="str">
        <f>IF(ISBLANK(T9),"",IF(LEFT(T9,2)="一括","",IF(T9="DP2(30/70%)",0.7*N9,0.4*N9)))</f>
        <v/>
      </c>
      <c r="AA9" s="17" t="str">
        <f>IF(LEFT(T9,2)="一括","",IF(T9="DP2(30/70%)","",IF(T9="DP3(30/40/30%)",S9,"")))</f>
        <v/>
      </c>
      <c r="AB9" s="18" t="str">
        <f>IF(T9="DP3(30/40/30%)",L9,"")</f>
        <v/>
      </c>
      <c r="AC9" s="19" t="str">
        <f>IF(ISBLANK(T9),"",IF(T9="DP3(30/40/30%)",0.3*N9,""))</f>
        <v/>
      </c>
      <c r="AD9" s="221"/>
      <c r="AE9" s="105"/>
      <c r="AF9" s="337"/>
    </row>
    <row r="10" spans="1:34" s="21" customFormat="1" ht="14.45" hidden="1" customHeight="1">
      <c r="A10" s="1" t="s">
        <v>19</v>
      </c>
      <c r="B10" s="3"/>
      <c r="C10" s="4"/>
      <c r="D10" s="5"/>
      <c r="E10" s="6"/>
      <c r="F10" s="7"/>
      <c r="G10" s="8"/>
      <c r="H10" s="9"/>
      <c r="I10" s="10"/>
      <c r="J10" s="11"/>
      <c r="K10" s="12"/>
      <c r="L10" s="13"/>
      <c r="M10" s="13"/>
      <c r="N10" s="14"/>
      <c r="O10" s="15"/>
      <c r="P10" s="15"/>
      <c r="Q10" s="16"/>
      <c r="R10" s="16"/>
      <c r="S10" s="16"/>
      <c r="T10" s="11"/>
      <c r="U10" s="213"/>
      <c r="V10" s="18"/>
      <c r="W10" s="19"/>
      <c r="X10" s="17"/>
      <c r="Y10" s="18"/>
      <c r="Z10" s="19"/>
      <c r="AA10" s="17"/>
      <c r="AB10" s="18"/>
      <c r="AC10" s="19"/>
      <c r="AD10" s="221"/>
      <c r="AE10" s="105"/>
      <c r="AF10" s="337"/>
    </row>
    <row r="11" spans="1:34" s="21" customFormat="1" ht="14.45" hidden="1" customHeight="1">
      <c r="A11" s="121" t="s">
        <v>20</v>
      </c>
      <c r="B11" s="3" t="s">
        <v>21</v>
      </c>
      <c r="C11" s="4">
        <v>262000000</v>
      </c>
      <c r="D11" s="85">
        <v>262000000</v>
      </c>
      <c r="E11" s="6">
        <v>1</v>
      </c>
      <c r="F11" s="7" t="s">
        <v>22</v>
      </c>
      <c r="G11" s="8" t="s">
        <v>13</v>
      </c>
      <c r="H11" s="9" t="s">
        <v>5</v>
      </c>
      <c r="I11" s="10">
        <v>1</v>
      </c>
      <c r="J11" s="11" t="s">
        <v>14</v>
      </c>
      <c r="K11" s="12" t="s">
        <v>6</v>
      </c>
      <c r="L11" s="13" t="s">
        <v>7</v>
      </c>
      <c r="M11" s="13"/>
      <c r="N11" s="14">
        <v>17000000</v>
      </c>
      <c r="O11" s="15">
        <v>1</v>
      </c>
      <c r="P11" s="15">
        <v>17000000</v>
      </c>
      <c r="Q11" s="16">
        <v>202404</v>
      </c>
      <c r="R11" s="16">
        <v>202405</v>
      </c>
      <c r="S11" s="16">
        <v>202405</v>
      </c>
      <c r="T11" s="11" t="s">
        <v>8</v>
      </c>
      <c r="U11" s="214">
        <v>202405</v>
      </c>
      <c r="V11" s="18" t="s">
        <v>7</v>
      </c>
      <c r="W11" s="19">
        <v>17000000</v>
      </c>
      <c r="X11" s="17"/>
      <c r="Y11" s="18"/>
      <c r="Z11" s="19"/>
      <c r="AA11" s="17"/>
      <c r="AB11" s="18"/>
      <c r="AC11" s="19"/>
      <c r="AD11" s="221">
        <f t="shared" ref="AD11:AD18" si="0">R11</f>
        <v>202405</v>
      </c>
      <c r="AE11" s="105"/>
      <c r="AF11" s="337"/>
      <c r="AG11" s="21" t="s">
        <v>23</v>
      </c>
      <c r="AH11" s="21" t="s">
        <v>24</v>
      </c>
    </row>
    <row r="12" spans="1:34" s="21" customFormat="1" ht="14.45" hidden="1" customHeight="1">
      <c r="A12" s="121"/>
      <c r="B12" s="3"/>
      <c r="C12" s="4"/>
      <c r="D12" s="5"/>
      <c r="E12" s="6">
        <v>2</v>
      </c>
      <c r="F12" s="7" t="s">
        <v>25</v>
      </c>
      <c r="G12" s="8" t="s">
        <v>13</v>
      </c>
      <c r="H12" s="9" t="s">
        <v>5</v>
      </c>
      <c r="I12" s="10">
        <v>1</v>
      </c>
      <c r="J12" s="11" t="s">
        <v>14</v>
      </c>
      <c r="K12" s="12" t="s">
        <v>6</v>
      </c>
      <c r="L12" s="13" t="s">
        <v>7</v>
      </c>
      <c r="M12" s="13"/>
      <c r="N12" s="14">
        <v>17000000</v>
      </c>
      <c r="O12" s="15">
        <v>1</v>
      </c>
      <c r="P12" s="15">
        <v>17000000</v>
      </c>
      <c r="Q12" s="16">
        <v>202406</v>
      </c>
      <c r="R12" s="16">
        <v>202407</v>
      </c>
      <c r="S12" s="16">
        <v>202407</v>
      </c>
      <c r="T12" s="11" t="s">
        <v>8</v>
      </c>
      <c r="U12" s="214">
        <v>202407</v>
      </c>
      <c r="V12" s="18" t="s">
        <v>7</v>
      </c>
      <c r="W12" s="19">
        <v>17000000</v>
      </c>
      <c r="X12" s="17"/>
      <c r="Y12" s="18"/>
      <c r="Z12" s="19"/>
      <c r="AA12" s="17"/>
      <c r="AB12" s="18"/>
      <c r="AC12" s="19"/>
      <c r="AD12" s="221">
        <f t="shared" si="0"/>
        <v>202407</v>
      </c>
      <c r="AE12" s="105"/>
      <c r="AF12" s="337"/>
      <c r="AG12" s="21" t="s">
        <v>26</v>
      </c>
      <c r="AH12" s="21" t="s">
        <v>27</v>
      </c>
    </row>
    <row r="13" spans="1:34" s="21" customFormat="1" ht="14.45" hidden="1" customHeight="1">
      <c r="A13" s="121"/>
      <c r="B13" s="3"/>
      <c r="C13" s="4"/>
      <c r="D13" s="5"/>
      <c r="E13" s="6">
        <v>3</v>
      </c>
      <c r="F13" s="7" t="s">
        <v>28</v>
      </c>
      <c r="G13" s="8" t="s">
        <v>13</v>
      </c>
      <c r="H13" s="9" t="s">
        <v>5</v>
      </c>
      <c r="I13" s="10">
        <v>1</v>
      </c>
      <c r="J13" s="11" t="s">
        <v>14</v>
      </c>
      <c r="K13" s="12" t="s">
        <v>6</v>
      </c>
      <c r="L13" s="13" t="s">
        <v>7</v>
      </c>
      <c r="M13" s="13"/>
      <c r="N13" s="14">
        <v>17000000</v>
      </c>
      <c r="O13" s="15">
        <v>1</v>
      </c>
      <c r="P13" s="15">
        <v>17000000</v>
      </c>
      <c r="Q13" s="16">
        <v>202408</v>
      </c>
      <c r="R13" s="16">
        <v>202409</v>
      </c>
      <c r="S13" s="16">
        <v>202409</v>
      </c>
      <c r="T13" s="11" t="s">
        <v>8</v>
      </c>
      <c r="U13" s="214">
        <v>202409</v>
      </c>
      <c r="V13" s="18" t="s">
        <v>7</v>
      </c>
      <c r="W13" s="19">
        <v>17000000</v>
      </c>
      <c r="X13" s="17"/>
      <c r="Y13" s="18"/>
      <c r="Z13" s="19"/>
      <c r="AA13" s="17"/>
      <c r="AB13" s="18"/>
      <c r="AC13" s="19"/>
      <c r="AD13" s="221">
        <f t="shared" si="0"/>
        <v>202409</v>
      </c>
      <c r="AE13" s="105"/>
      <c r="AF13" s="337"/>
      <c r="AG13" s="21" t="s">
        <v>29</v>
      </c>
      <c r="AH13" s="21" t="s">
        <v>30</v>
      </c>
    </row>
    <row r="14" spans="1:34" s="21" customFormat="1" ht="14.45" hidden="1" customHeight="1">
      <c r="A14" s="121"/>
      <c r="B14" s="3"/>
      <c r="C14" s="4"/>
      <c r="D14" s="5"/>
      <c r="E14" s="6">
        <v>4</v>
      </c>
      <c r="F14" s="7" t="s">
        <v>31</v>
      </c>
      <c r="G14" s="8" t="s">
        <v>13</v>
      </c>
      <c r="H14" s="9" t="s">
        <v>5</v>
      </c>
      <c r="I14" s="10">
        <v>1</v>
      </c>
      <c r="J14" s="11" t="s">
        <v>14</v>
      </c>
      <c r="K14" s="12" t="s">
        <v>6</v>
      </c>
      <c r="L14" s="13" t="s">
        <v>7</v>
      </c>
      <c r="M14" s="13"/>
      <c r="N14" s="14">
        <v>17000000</v>
      </c>
      <c r="O14" s="15">
        <v>1</v>
      </c>
      <c r="P14" s="15">
        <v>17000000</v>
      </c>
      <c r="Q14" s="16">
        <v>202409</v>
      </c>
      <c r="R14" s="16">
        <v>202409</v>
      </c>
      <c r="S14" s="16">
        <v>202409</v>
      </c>
      <c r="T14" s="11" t="s">
        <v>8</v>
      </c>
      <c r="U14" s="214">
        <v>202409</v>
      </c>
      <c r="V14" s="18" t="s">
        <v>7</v>
      </c>
      <c r="W14" s="19">
        <v>17000000</v>
      </c>
      <c r="X14" s="17"/>
      <c r="Y14" s="18"/>
      <c r="Z14" s="19"/>
      <c r="AA14" s="17"/>
      <c r="AB14" s="18"/>
      <c r="AC14" s="19"/>
      <c r="AD14" s="221">
        <f t="shared" si="0"/>
        <v>202409</v>
      </c>
      <c r="AE14" s="105"/>
      <c r="AF14" s="337"/>
      <c r="AG14" s="21" t="s">
        <v>32</v>
      </c>
      <c r="AH14" s="21" t="s">
        <v>33</v>
      </c>
    </row>
    <row r="15" spans="1:34" s="21" customFormat="1" ht="14.45" hidden="1" customHeight="1">
      <c r="A15" s="121"/>
      <c r="B15" s="3"/>
      <c r="C15" s="4"/>
      <c r="D15" s="5"/>
      <c r="E15" s="6">
        <v>5</v>
      </c>
      <c r="F15" s="7" t="s">
        <v>34</v>
      </c>
      <c r="G15" s="8" t="s">
        <v>13</v>
      </c>
      <c r="H15" s="9" t="s">
        <v>5</v>
      </c>
      <c r="I15" s="10">
        <v>1</v>
      </c>
      <c r="J15" s="11" t="s">
        <v>14</v>
      </c>
      <c r="K15" s="12" t="s">
        <v>6</v>
      </c>
      <c r="L15" s="13" t="s">
        <v>7</v>
      </c>
      <c r="M15" s="13"/>
      <c r="N15" s="14">
        <v>14000000</v>
      </c>
      <c r="O15" s="15">
        <v>1</v>
      </c>
      <c r="P15" s="15">
        <v>14000000</v>
      </c>
      <c r="Q15" s="16">
        <v>202411</v>
      </c>
      <c r="R15" s="16">
        <v>202412</v>
      </c>
      <c r="S15" s="16">
        <v>202501</v>
      </c>
      <c r="T15" s="11" t="s">
        <v>8</v>
      </c>
      <c r="U15" s="214">
        <v>202501</v>
      </c>
      <c r="V15" s="18" t="s">
        <v>7</v>
      </c>
      <c r="W15" s="19">
        <v>14000000</v>
      </c>
      <c r="X15" s="17" t="s">
        <v>12</v>
      </c>
      <c r="Y15" s="18" t="s">
        <v>12</v>
      </c>
      <c r="Z15" s="19" t="s">
        <v>12</v>
      </c>
      <c r="AA15" s="17" t="s">
        <v>12</v>
      </c>
      <c r="AB15" s="18" t="s">
        <v>12</v>
      </c>
      <c r="AC15" s="19" t="s">
        <v>12</v>
      </c>
      <c r="AD15" s="221">
        <f t="shared" si="0"/>
        <v>202412</v>
      </c>
      <c r="AE15" s="105"/>
      <c r="AF15" s="337"/>
      <c r="AG15" s="21" t="s">
        <v>35</v>
      </c>
      <c r="AH15" s="21" t="s">
        <v>36</v>
      </c>
    </row>
    <row r="16" spans="1:34" s="21" customFormat="1" ht="14.45" hidden="1" customHeight="1">
      <c r="A16" s="121"/>
      <c r="B16" s="3"/>
      <c r="C16" s="4"/>
      <c r="D16" s="5"/>
      <c r="E16" s="6">
        <v>6</v>
      </c>
      <c r="F16" s="7" t="s">
        <v>37</v>
      </c>
      <c r="G16" s="8" t="s">
        <v>13</v>
      </c>
      <c r="H16" s="9" t="s">
        <v>5</v>
      </c>
      <c r="I16" s="10">
        <v>1</v>
      </c>
      <c r="J16" s="11" t="s">
        <v>14</v>
      </c>
      <c r="K16" s="12" t="s">
        <v>6</v>
      </c>
      <c r="L16" s="13" t="s">
        <v>7</v>
      </c>
      <c r="M16" s="13"/>
      <c r="N16" s="14">
        <v>60000000</v>
      </c>
      <c r="O16" s="15">
        <v>1</v>
      </c>
      <c r="P16" s="15">
        <v>60000000</v>
      </c>
      <c r="Q16" s="16">
        <v>202410</v>
      </c>
      <c r="R16" s="16">
        <v>202411</v>
      </c>
      <c r="S16" s="16">
        <v>202411</v>
      </c>
      <c r="T16" s="11" t="s">
        <v>8</v>
      </c>
      <c r="U16" s="214">
        <v>202411</v>
      </c>
      <c r="V16" s="18" t="s">
        <v>7</v>
      </c>
      <c r="W16" s="19">
        <v>60000000</v>
      </c>
      <c r="X16" s="17"/>
      <c r="Y16" s="18"/>
      <c r="Z16" s="19"/>
      <c r="AA16" s="17"/>
      <c r="AB16" s="18"/>
      <c r="AC16" s="19"/>
      <c r="AD16" s="221">
        <f t="shared" si="0"/>
        <v>202411</v>
      </c>
      <c r="AE16" s="105"/>
      <c r="AF16" s="337"/>
      <c r="AG16" s="21" t="s">
        <v>38</v>
      </c>
      <c r="AH16" s="21" t="s">
        <v>39</v>
      </c>
    </row>
    <row r="17" spans="1:34" s="21" customFormat="1" ht="14.25" hidden="1" customHeight="1">
      <c r="A17" s="121"/>
      <c r="B17" s="3"/>
      <c r="C17" s="4"/>
      <c r="D17" s="5"/>
      <c r="E17" s="6">
        <v>7</v>
      </c>
      <c r="F17" s="7" t="s">
        <v>40</v>
      </c>
      <c r="G17" s="8" t="s">
        <v>13</v>
      </c>
      <c r="H17" s="9" t="s">
        <v>5</v>
      </c>
      <c r="I17" s="10">
        <v>1</v>
      </c>
      <c r="J17" s="11" t="s">
        <v>14</v>
      </c>
      <c r="K17" s="12" t="s">
        <v>6</v>
      </c>
      <c r="L17" s="13" t="s">
        <v>7</v>
      </c>
      <c r="M17" s="13"/>
      <c r="N17" s="14">
        <v>60000000</v>
      </c>
      <c r="O17" s="15">
        <v>1</v>
      </c>
      <c r="P17" s="15">
        <v>60000000</v>
      </c>
      <c r="Q17" s="16">
        <v>202411</v>
      </c>
      <c r="R17" s="16">
        <v>202412</v>
      </c>
      <c r="S17" s="16">
        <v>202412</v>
      </c>
      <c r="T17" s="11" t="s">
        <v>8</v>
      </c>
      <c r="U17" s="214">
        <v>202412</v>
      </c>
      <c r="V17" s="18" t="s">
        <v>7</v>
      </c>
      <c r="W17" s="19">
        <v>60000000</v>
      </c>
      <c r="X17" s="17" t="s">
        <v>12</v>
      </c>
      <c r="Y17" s="18" t="s">
        <v>12</v>
      </c>
      <c r="Z17" s="19" t="s">
        <v>12</v>
      </c>
      <c r="AA17" s="17" t="s">
        <v>12</v>
      </c>
      <c r="AB17" s="18" t="s">
        <v>12</v>
      </c>
      <c r="AC17" s="19" t="s">
        <v>12</v>
      </c>
      <c r="AD17" s="221">
        <f t="shared" si="0"/>
        <v>202412</v>
      </c>
      <c r="AE17" s="105"/>
      <c r="AF17" s="337"/>
      <c r="AG17" s="21" t="s">
        <v>35</v>
      </c>
      <c r="AH17" s="21" t="s">
        <v>41</v>
      </c>
    </row>
    <row r="18" spans="1:34" s="21" customFormat="1" ht="14.45" hidden="1" customHeight="1">
      <c r="A18" s="121"/>
      <c r="B18" s="3"/>
      <c r="C18" s="4"/>
      <c r="D18" s="5"/>
      <c r="E18" s="6">
        <v>8</v>
      </c>
      <c r="F18" s="7" t="s">
        <v>42</v>
      </c>
      <c r="G18" s="8" t="s">
        <v>13</v>
      </c>
      <c r="H18" s="9" t="s">
        <v>5</v>
      </c>
      <c r="I18" s="10">
        <v>1</v>
      </c>
      <c r="J18" s="11" t="s">
        <v>14</v>
      </c>
      <c r="K18" s="12" t="s">
        <v>6</v>
      </c>
      <c r="L18" s="13" t="s">
        <v>7</v>
      </c>
      <c r="M18" s="13"/>
      <c r="N18" s="14">
        <v>60000000</v>
      </c>
      <c r="O18" s="15">
        <v>1</v>
      </c>
      <c r="P18" s="15">
        <v>60000000</v>
      </c>
      <c r="Q18" s="16">
        <v>202412</v>
      </c>
      <c r="R18" s="16">
        <v>202501</v>
      </c>
      <c r="S18" s="16">
        <v>202501</v>
      </c>
      <c r="T18" s="11" t="s">
        <v>8</v>
      </c>
      <c r="U18" s="214">
        <v>202501</v>
      </c>
      <c r="V18" s="18" t="s">
        <v>7</v>
      </c>
      <c r="W18" s="19">
        <v>60000000</v>
      </c>
      <c r="X18" s="17"/>
      <c r="Y18" s="18"/>
      <c r="Z18" s="19"/>
      <c r="AA18" s="17"/>
      <c r="AB18" s="18"/>
      <c r="AC18" s="19"/>
      <c r="AD18" s="221">
        <f t="shared" si="0"/>
        <v>202501</v>
      </c>
      <c r="AE18" s="105"/>
      <c r="AF18" s="337"/>
      <c r="AG18" s="21" t="s">
        <v>43</v>
      </c>
      <c r="AH18" s="21" t="s">
        <v>44</v>
      </c>
    </row>
    <row r="19" spans="1:34" s="21" customFormat="1" ht="14.45" hidden="1" customHeight="1">
      <c r="A19" s="121"/>
      <c r="B19" s="3"/>
      <c r="C19" s="4"/>
      <c r="D19" s="5"/>
      <c r="E19" s="6"/>
      <c r="F19" s="7"/>
      <c r="G19" s="8"/>
      <c r="H19" s="9"/>
      <c r="I19" s="10"/>
      <c r="J19" s="11"/>
      <c r="K19" s="12"/>
      <c r="L19" s="13"/>
      <c r="M19" s="13"/>
      <c r="N19" s="14"/>
      <c r="O19" s="15"/>
      <c r="P19" s="15"/>
      <c r="Q19" s="16"/>
      <c r="R19" s="16"/>
      <c r="S19" s="16"/>
      <c r="T19" s="11"/>
      <c r="U19" s="213"/>
      <c r="V19" s="18"/>
      <c r="W19" s="19"/>
      <c r="X19" s="17"/>
      <c r="Y19" s="18"/>
      <c r="Z19" s="19"/>
      <c r="AA19" s="17"/>
      <c r="AB19" s="18"/>
      <c r="AC19" s="19"/>
      <c r="AD19" s="221"/>
      <c r="AE19" s="105"/>
      <c r="AF19" s="337"/>
    </row>
    <row r="20" spans="1:34" s="21" customFormat="1" ht="14.45" hidden="1" customHeight="1">
      <c r="A20" s="121"/>
      <c r="B20" s="3"/>
      <c r="C20" s="4"/>
      <c r="D20" s="5"/>
      <c r="E20" s="6"/>
      <c r="F20" s="7"/>
      <c r="G20" s="8"/>
      <c r="H20" s="9"/>
      <c r="I20" s="10"/>
      <c r="J20" s="11"/>
      <c r="K20" s="12"/>
      <c r="L20" s="13"/>
      <c r="M20" s="13"/>
      <c r="N20" s="14"/>
      <c r="O20" s="15"/>
      <c r="P20" s="15"/>
      <c r="Q20" s="16"/>
      <c r="R20" s="16"/>
      <c r="S20" s="16"/>
      <c r="T20" s="11"/>
      <c r="U20" s="213"/>
      <c r="V20" s="18"/>
      <c r="W20" s="19"/>
      <c r="X20" s="17"/>
      <c r="Y20" s="18"/>
      <c r="Z20" s="19"/>
      <c r="AA20" s="17"/>
      <c r="AB20" s="18"/>
      <c r="AC20" s="19"/>
      <c r="AD20" s="221"/>
      <c r="AE20" s="105"/>
      <c r="AF20" s="337"/>
    </row>
    <row r="21" spans="1:34" s="21" customFormat="1" ht="14.45" hidden="1" customHeight="1">
      <c r="A21" s="121" t="s">
        <v>45</v>
      </c>
      <c r="B21" s="3" t="s">
        <v>46</v>
      </c>
      <c r="C21" s="4">
        <v>817000000</v>
      </c>
      <c r="D21" s="85">
        <v>817000000</v>
      </c>
      <c r="E21" s="6">
        <v>1</v>
      </c>
      <c r="F21" s="7" t="s">
        <v>47</v>
      </c>
      <c r="G21" s="8" t="s">
        <v>13</v>
      </c>
      <c r="H21" s="9" t="s">
        <v>5</v>
      </c>
      <c r="I21" s="10">
        <v>3</v>
      </c>
      <c r="J21" s="11" t="s">
        <v>14</v>
      </c>
      <c r="K21" s="12" t="s">
        <v>6</v>
      </c>
      <c r="L21" s="13" t="s">
        <v>7</v>
      </c>
      <c r="M21" s="13"/>
      <c r="N21" s="14">
        <v>51000000</v>
      </c>
      <c r="O21" s="15">
        <v>1</v>
      </c>
      <c r="P21" s="15">
        <v>51000000</v>
      </c>
      <c r="Q21" s="16">
        <v>202404</v>
      </c>
      <c r="R21" s="2">
        <v>202405</v>
      </c>
      <c r="S21" s="2">
        <v>202405</v>
      </c>
      <c r="T21" s="11" t="s">
        <v>8</v>
      </c>
      <c r="U21" s="213">
        <v>202405</v>
      </c>
      <c r="V21" s="18" t="s">
        <v>7</v>
      </c>
      <c r="W21" s="19">
        <v>51000000</v>
      </c>
      <c r="X21" s="17" t="s">
        <v>12</v>
      </c>
      <c r="Y21" s="18" t="s">
        <v>12</v>
      </c>
      <c r="Z21" s="19" t="s">
        <v>12</v>
      </c>
      <c r="AA21" s="17" t="s">
        <v>12</v>
      </c>
      <c r="AB21" s="18" t="s">
        <v>12</v>
      </c>
      <c r="AC21" s="19" t="s">
        <v>12</v>
      </c>
      <c r="AD21" s="221">
        <f t="shared" ref="AD21:AD35" si="1">R21</f>
        <v>202405</v>
      </c>
      <c r="AE21" s="105"/>
      <c r="AF21" s="337"/>
      <c r="AG21" s="21" t="s">
        <v>48</v>
      </c>
    </row>
    <row r="22" spans="1:34" s="21" customFormat="1" ht="14.45" hidden="1" customHeight="1">
      <c r="A22" s="121"/>
      <c r="B22" s="3"/>
      <c r="C22" s="4"/>
      <c r="D22" s="5"/>
      <c r="E22" s="6">
        <v>2</v>
      </c>
      <c r="F22" s="7" t="s">
        <v>49</v>
      </c>
      <c r="G22" s="8" t="s">
        <v>13</v>
      </c>
      <c r="H22" s="9" t="s">
        <v>5</v>
      </c>
      <c r="I22" s="10">
        <v>1</v>
      </c>
      <c r="J22" s="11" t="s">
        <v>14</v>
      </c>
      <c r="K22" s="12" t="s">
        <v>6</v>
      </c>
      <c r="L22" s="13" t="s">
        <v>7</v>
      </c>
      <c r="M22" s="13"/>
      <c r="N22" s="14">
        <v>60000000</v>
      </c>
      <c r="O22" s="15">
        <v>1</v>
      </c>
      <c r="P22" s="15">
        <v>60000000</v>
      </c>
      <c r="Q22" s="16">
        <v>202405</v>
      </c>
      <c r="R22" s="2">
        <v>202406</v>
      </c>
      <c r="S22" s="2">
        <v>202406</v>
      </c>
      <c r="T22" s="11" t="s">
        <v>8</v>
      </c>
      <c r="U22" s="213">
        <v>202406</v>
      </c>
      <c r="V22" s="18" t="s">
        <v>7</v>
      </c>
      <c r="W22" s="19">
        <v>60000000</v>
      </c>
      <c r="X22" s="17" t="s">
        <v>12</v>
      </c>
      <c r="Y22" s="18" t="s">
        <v>12</v>
      </c>
      <c r="Z22" s="19" t="s">
        <v>12</v>
      </c>
      <c r="AA22" s="17" t="s">
        <v>12</v>
      </c>
      <c r="AB22" s="18" t="s">
        <v>12</v>
      </c>
      <c r="AC22" s="19" t="s">
        <v>12</v>
      </c>
      <c r="AD22" s="221">
        <f t="shared" si="1"/>
        <v>202406</v>
      </c>
      <c r="AE22" s="105"/>
      <c r="AF22" s="337"/>
      <c r="AG22" s="21" t="s">
        <v>48</v>
      </c>
    </row>
    <row r="23" spans="1:34" s="21" customFormat="1" ht="14.45" hidden="1" customHeight="1">
      <c r="A23" s="121"/>
      <c r="B23" s="3"/>
      <c r="C23" s="4"/>
      <c r="D23" s="5"/>
      <c r="E23" s="6">
        <v>3</v>
      </c>
      <c r="F23" s="7" t="s">
        <v>50</v>
      </c>
      <c r="G23" s="8" t="s">
        <v>13</v>
      </c>
      <c r="H23" s="9" t="s">
        <v>5</v>
      </c>
      <c r="I23" s="10">
        <v>2</v>
      </c>
      <c r="J23" s="11" t="s">
        <v>14</v>
      </c>
      <c r="K23" s="12" t="s">
        <v>6</v>
      </c>
      <c r="L23" s="13" t="s">
        <v>7</v>
      </c>
      <c r="M23" s="13"/>
      <c r="N23" s="14">
        <v>34000000</v>
      </c>
      <c r="O23" s="15">
        <v>1</v>
      </c>
      <c r="P23" s="15">
        <v>34000000</v>
      </c>
      <c r="Q23" s="16">
        <v>202405</v>
      </c>
      <c r="R23" s="2">
        <v>202406</v>
      </c>
      <c r="S23" s="2">
        <v>202406</v>
      </c>
      <c r="T23" s="11" t="s">
        <v>8</v>
      </c>
      <c r="U23" s="213">
        <v>202406</v>
      </c>
      <c r="V23" s="18" t="s">
        <v>7</v>
      </c>
      <c r="W23" s="19">
        <v>34000000</v>
      </c>
      <c r="X23" s="17" t="s">
        <v>12</v>
      </c>
      <c r="Y23" s="18" t="s">
        <v>12</v>
      </c>
      <c r="Z23" s="19" t="s">
        <v>12</v>
      </c>
      <c r="AA23" s="17" t="s">
        <v>12</v>
      </c>
      <c r="AB23" s="18" t="s">
        <v>12</v>
      </c>
      <c r="AC23" s="19" t="s">
        <v>12</v>
      </c>
      <c r="AD23" s="221">
        <f t="shared" si="1"/>
        <v>202406</v>
      </c>
      <c r="AE23" s="105"/>
      <c r="AF23" s="337"/>
      <c r="AG23" s="21" t="s">
        <v>48</v>
      </c>
    </row>
    <row r="24" spans="1:34" s="21" customFormat="1" ht="14.45" hidden="1" customHeight="1">
      <c r="A24" s="121"/>
      <c r="B24" s="3"/>
      <c r="C24" s="4"/>
      <c r="D24" s="5"/>
      <c r="E24" s="6">
        <v>4</v>
      </c>
      <c r="F24" s="7" t="s">
        <v>51</v>
      </c>
      <c r="G24" s="8" t="s">
        <v>13</v>
      </c>
      <c r="H24" s="9" t="s">
        <v>5</v>
      </c>
      <c r="I24" s="10">
        <v>3</v>
      </c>
      <c r="J24" s="11" t="s">
        <v>14</v>
      </c>
      <c r="K24" s="12" t="s">
        <v>6</v>
      </c>
      <c r="L24" s="13" t="s">
        <v>7</v>
      </c>
      <c r="M24" s="13"/>
      <c r="N24" s="14">
        <v>51000000</v>
      </c>
      <c r="O24" s="15">
        <v>1</v>
      </c>
      <c r="P24" s="15">
        <v>51000000</v>
      </c>
      <c r="Q24" s="16">
        <v>202406</v>
      </c>
      <c r="R24" s="2">
        <v>202407</v>
      </c>
      <c r="S24" s="2">
        <v>202407</v>
      </c>
      <c r="T24" s="11" t="s">
        <v>8</v>
      </c>
      <c r="U24" s="213">
        <v>202407</v>
      </c>
      <c r="V24" s="18" t="s">
        <v>7</v>
      </c>
      <c r="W24" s="19">
        <v>51000000</v>
      </c>
      <c r="X24" s="17" t="s">
        <v>12</v>
      </c>
      <c r="Y24" s="18" t="s">
        <v>12</v>
      </c>
      <c r="Z24" s="19" t="s">
        <v>12</v>
      </c>
      <c r="AA24" s="17" t="s">
        <v>12</v>
      </c>
      <c r="AB24" s="18" t="s">
        <v>12</v>
      </c>
      <c r="AC24" s="19" t="s">
        <v>12</v>
      </c>
      <c r="AD24" s="221">
        <f t="shared" si="1"/>
        <v>202407</v>
      </c>
      <c r="AE24" s="105"/>
      <c r="AF24" s="337"/>
      <c r="AG24" s="21" t="s">
        <v>48</v>
      </c>
    </row>
    <row r="25" spans="1:34" s="21" customFormat="1" ht="14.45" hidden="1" customHeight="1">
      <c r="A25" s="121"/>
      <c r="B25" s="3"/>
      <c r="C25" s="4"/>
      <c r="D25" s="5"/>
      <c r="E25" s="6">
        <v>5</v>
      </c>
      <c r="F25" s="7" t="s">
        <v>52</v>
      </c>
      <c r="G25" s="8" t="s">
        <v>13</v>
      </c>
      <c r="H25" s="9" t="s">
        <v>5</v>
      </c>
      <c r="I25" s="10">
        <v>3</v>
      </c>
      <c r="J25" s="11" t="s">
        <v>14</v>
      </c>
      <c r="K25" s="12" t="s">
        <v>6</v>
      </c>
      <c r="L25" s="13" t="s">
        <v>7</v>
      </c>
      <c r="M25" s="13"/>
      <c r="N25" s="14">
        <v>51000000</v>
      </c>
      <c r="O25" s="15">
        <v>1</v>
      </c>
      <c r="P25" s="15">
        <v>51000000</v>
      </c>
      <c r="Q25" s="16">
        <v>202407</v>
      </c>
      <c r="R25" s="2">
        <v>202408</v>
      </c>
      <c r="S25" s="2">
        <v>202408</v>
      </c>
      <c r="T25" s="11" t="s">
        <v>8</v>
      </c>
      <c r="U25" s="213">
        <v>202408</v>
      </c>
      <c r="V25" s="18" t="s">
        <v>7</v>
      </c>
      <c r="W25" s="19">
        <v>51000000</v>
      </c>
      <c r="X25" s="17" t="s">
        <v>12</v>
      </c>
      <c r="Y25" s="18" t="s">
        <v>12</v>
      </c>
      <c r="Z25" s="19" t="s">
        <v>12</v>
      </c>
      <c r="AA25" s="17" t="s">
        <v>12</v>
      </c>
      <c r="AB25" s="18" t="s">
        <v>12</v>
      </c>
      <c r="AC25" s="19" t="s">
        <v>12</v>
      </c>
      <c r="AD25" s="221">
        <f t="shared" si="1"/>
        <v>202408</v>
      </c>
      <c r="AE25" s="105"/>
      <c r="AF25" s="337"/>
      <c r="AG25" s="21" t="s">
        <v>48</v>
      </c>
    </row>
    <row r="26" spans="1:34" s="21" customFormat="1" ht="14.45" hidden="1" customHeight="1">
      <c r="A26" s="121"/>
      <c r="B26" s="3"/>
      <c r="C26" s="4"/>
      <c r="D26" s="5"/>
      <c r="E26" s="6">
        <v>6</v>
      </c>
      <c r="F26" s="7" t="s">
        <v>53</v>
      </c>
      <c r="G26" s="8" t="s">
        <v>13</v>
      </c>
      <c r="H26" s="9" t="s">
        <v>5</v>
      </c>
      <c r="I26" s="10">
        <v>3</v>
      </c>
      <c r="J26" s="11" t="s">
        <v>14</v>
      </c>
      <c r="K26" s="12" t="s">
        <v>6</v>
      </c>
      <c r="L26" s="13" t="s">
        <v>7</v>
      </c>
      <c r="M26" s="13"/>
      <c r="N26" s="14">
        <v>51000000</v>
      </c>
      <c r="O26" s="15">
        <v>1</v>
      </c>
      <c r="P26" s="15">
        <v>51000000</v>
      </c>
      <c r="Q26" s="16">
        <v>202408</v>
      </c>
      <c r="R26" s="2">
        <v>202405</v>
      </c>
      <c r="S26" s="2">
        <v>202405</v>
      </c>
      <c r="T26" s="11" t="s">
        <v>8</v>
      </c>
      <c r="U26" s="213">
        <v>202405</v>
      </c>
      <c r="V26" s="18" t="s">
        <v>7</v>
      </c>
      <c r="W26" s="19">
        <v>51000000</v>
      </c>
      <c r="X26" s="17" t="s">
        <v>12</v>
      </c>
      <c r="Y26" s="18" t="s">
        <v>12</v>
      </c>
      <c r="Z26" s="19" t="s">
        <v>12</v>
      </c>
      <c r="AA26" s="17" t="s">
        <v>12</v>
      </c>
      <c r="AB26" s="18" t="s">
        <v>12</v>
      </c>
      <c r="AC26" s="19" t="s">
        <v>12</v>
      </c>
      <c r="AD26" s="221">
        <f t="shared" si="1"/>
        <v>202405</v>
      </c>
      <c r="AE26" s="105"/>
      <c r="AF26" s="337"/>
      <c r="AG26" s="21" t="s">
        <v>48</v>
      </c>
    </row>
    <row r="27" spans="1:34" s="21" customFormat="1" ht="14.45" hidden="1" customHeight="1">
      <c r="A27" s="121"/>
      <c r="B27" s="3"/>
      <c r="C27" s="4"/>
      <c r="D27" s="5"/>
      <c r="E27" s="6">
        <v>7</v>
      </c>
      <c r="F27" s="7" t="s">
        <v>54</v>
      </c>
      <c r="G27" s="8" t="s">
        <v>13</v>
      </c>
      <c r="H27" s="9" t="s">
        <v>5</v>
      </c>
      <c r="I27" s="10">
        <v>3</v>
      </c>
      <c r="J27" s="11" t="s">
        <v>14</v>
      </c>
      <c r="K27" s="12" t="s">
        <v>6</v>
      </c>
      <c r="L27" s="13" t="s">
        <v>7</v>
      </c>
      <c r="M27" s="13"/>
      <c r="N27" s="14">
        <v>51000000</v>
      </c>
      <c r="O27" s="15">
        <v>1</v>
      </c>
      <c r="P27" s="15">
        <v>51000000</v>
      </c>
      <c r="Q27" s="16">
        <v>202409</v>
      </c>
      <c r="R27" s="2">
        <v>202410</v>
      </c>
      <c r="S27" s="2">
        <v>202410</v>
      </c>
      <c r="T27" s="11" t="s">
        <v>8</v>
      </c>
      <c r="U27" s="213">
        <v>202410</v>
      </c>
      <c r="V27" s="18" t="s">
        <v>7</v>
      </c>
      <c r="W27" s="19">
        <v>51000000</v>
      </c>
      <c r="X27" s="17" t="s">
        <v>12</v>
      </c>
      <c r="Y27" s="18" t="s">
        <v>12</v>
      </c>
      <c r="Z27" s="19" t="s">
        <v>12</v>
      </c>
      <c r="AA27" s="17" t="s">
        <v>12</v>
      </c>
      <c r="AB27" s="18" t="s">
        <v>12</v>
      </c>
      <c r="AC27" s="19" t="s">
        <v>12</v>
      </c>
      <c r="AD27" s="221">
        <f t="shared" si="1"/>
        <v>202410</v>
      </c>
      <c r="AE27" s="105"/>
      <c r="AF27" s="337"/>
      <c r="AG27" s="21" t="s">
        <v>48</v>
      </c>
    </row>
    <row r="28" spans="1:34" s="21" customFormat="1" ht="14.45" hidden="1" customHeight="1">
      <c r="A28" s="121"/>
      <c r="B28" s="3"/>
      <c r="C28" s="4"/>
      <c r="D28" s="5"/>
      <c r="E28" s="6">
        <v>8</v>
      </c>
      <c r="F28" s="7" t="s">
        <v>55</v>
      </c>
      <c r="G28" s="8" t="s">
        <v>13</v>
      </c>
      <c r="H28" s="9" t="s">
        <v>5</v>
      </c>
      <c r="I28" s="10">
        <v>3</v>
      </c>
      <c r="J28" s="11" t="s">
        <v>14</v>
      </c>
      <c r="K28" s="12" t="s">
        <v>6</v>
      </c>
      <c r="L28" s="13" t="s">
        <v>7</v>
      </c>
      <c r="M28" s="13"/>
      <c r="N28" s="14">
        <v>51000000</v>
      </c>
      <c r="O28" s="15">
        <v>1</v>
      </c>
      <c r="P28" s="15">
        <v>51000000</v>
      </c>
      <c r="Q28" s="16">
        <v>202410</v>
      </c>
      <c r="R28" s="2">
        <v>202412</v>
      </c>
      <c r="S28" s="2">
        <v>202412</v>
      </c>
      <c r="T28" s="11" t="s">
        <v>8</v>
      </c>
      <c r="U28" s="213">
        <v>202412</v>
      </c>
      <c r="V28" s="18" t="s">
        <v>7</v>
      </c>
      <c r="W28" s="19">
        <v>51000000</v>
      </c>
      <c r="X28" s="17" t="s">
        <v>12</v>
      </c>
      <c r="Y28" s="18" t="s">
        <v>12</v>
      </c>
      <c r="Z28" s="19" t="s">
        <v>12</v>
      </c>
      <c r="AA28" s="17" t="s">
        <v>12</v>
      </c>
      <c r="AB28" s="18" t="s">
        <v>12</v>
      </c>
      <c r="AC28" s="19" t="s">
        <v>12</v>
      </c>
      <c r="AD28" s="221">
        <f t="shared" si="1"/>
        <v>202412</v>
      </c>
      <c r="AE28" s="105"/>
      <c r="AF28" s="337"/>
      <c r="AG28" s="21" t="s">
        <v>48</v>
      </c>
    </row>
    <row r="29" spans="1:34" s="21" customFormat="1" ht="14.45" hidden="1" customHeight="1">
      <c r="A29" s="121"/>
      <c r="B29" s="3"/>
      <c r="C29" s="4"/>
      <c r="D29" s="5"/>
      <c r="E29" s="6">
        <v>9</v>
      </c>
      <c r="F29" s="7" t="s">
        <v>56</v>
      </c>
      <c r="G29" s="8" t="s">
        <v>13</v>
      </c>
      <c r="H29" s="9" t="s">
        <v>5</v>
      </c>
      <c r="I29" s="10">
        <v>3</v>
      </c>
      <c r="J29" s="11" t="s">
        <v>14</v>
      </c>
      <c r="K29" s="12" t="s">
        <v>6</v>
      </c>
      <c r="L29" s="13" t="s">
        <v>7</v>
      </c>
      <c r="M29" s="13"/>
      <c r="N29" s="14">
        <v>51000000</v>
      </c>
      <c r="O29" s="15">
        <v>1</v>
      </c>
      <c r="P29" s="15">
        <v>51000000</v>
      </c>
      <c r="Q29" s="16">
        <v>202411</v>
      </c>
      <c r="R29" s="2">
        <v>202501</v>
      </c>
      <c r="S29" s="2">
        <v>202501</v>
      </c>
      <c r="T29" s="11" t="s">
        <v>8</v>
      </c>
      <c r="U29" s="213">
        <v>202501</v>
      </c>
      <c r="V29" s="18" t="s">
        <v>7</v>
      </c>
      <c r="W29" s="19">
        <v>51000000</v>
      </c>
      <c r="X29" s="17" t="s">
        <v>12</v>
      </c>
      <c r="Y29" s="18" t="s">
        <v>12</v>
      </c>
      <c r="Z29" s="19" t="s">
        <v>12</v>
      </c>
      <c r="AA29" s="17" t="s">
        <v>12</v>
      </c>
      <c r="AB29" s="18" t="s">
        <v>12</v>
      </c>
      <c r="AC29" s="19" t="s">
        <v>12</v>
      </c>
      <c r="AD29" s="221">
        <f t="shared" si="1"/>
        <v>202501</v>
      </c>
      <c r="AE29" s="105"/>
      <c r="AF29" s="337"/>
      <c r="AG29" s="21" t="s">
        <v>48</v>
      </c>
    </row>
    <row r="30" spans="1:34" s="21" customFormat="1" ht="14.45" hidden="1" customHeight="1">
      <c r="A30" s="121"/>
      <c r="B30" s="3"/>
      <c r="C30" s="4"/>
      <c r="D30" s="5"/>
      <c r="E30" s="6">
        <v>10</v>
      </c>
      <c r="F30" s="7" t="s">
        <v>57</v>
      </c>
      <c r="G30" s="8" t="s">
        <v>13</v>
      </c>
      <c r="H30" s="9" t="s">
        <v>5</v>
      </c>
      <c r="I30" s="10">
        <v>3</v>
      </c>
      <c r="J30" s="11" t="s">
        <v>14</v>
      </c>
      <c r="K30" s="12" t="s">
        <v>6</v>
      </c>
      <c r="L30" s="13" t="s">
        <v>7</v>
      </c>
      <c r="M30" s="13"/>
      <c r="N30" s="14">
        <v>51000000</v>
      </c>
      <c r="O30" s="15">
        <v>1</v>
      </c>
      <c r="P30" s="15">
        <v>51000000</v>
      </c>
      <c r="Q30" s="16">
        <v>202412</v>
      </c>
      <c r="R30" s="2">
        <v>202502</v>
      </c>
      <c r="S30" s="2">
        <v>202502</v>
      </c>
      <c r="T30" s="11" t="s">
        <v>8</v>
      </c>
      <c r="U30" s="213">
        <v>202502</v>
      </c>
      <c r="V30" s="18" t="s">
        <v>7</v>
      </c>
      <c r="W30" s="19">
        <v>51000000</v>
      </c>
      <c r="X30" s="17" t="s">
        <v>12</v>
      </c>
      <c r="Y30" s="18" t="s">
        <v>12</v>
      </c>
      <c r="Z30" s="19" t="s">
        <v>12</v>
      </c>
      <c r="AA30" s="17" t="s">
        <v>12</v>
      </c>
      <c r="AB30" s="18" t="s">
        <v>12</v>
      </c>
      <c r="AC30" s="19" t="s">
        <v>12</v>
      </c>
      <c r="AD30" s="221">
        <f t="shared" si="1"/>
        <v>202502</v>
      </c>
      <c r="AE30" s="105"/>
      <c r="AF30" s="337"/>
      <c r="AG30" s="21" t="s">
        <v>48</v>
      </c>
    </row>
    <row r="31" spans="1:34" s="21" customFormat="1" ht="14.45" hidden="1" customHeight="1">
      <c r="A31" s="121"/>
      <c r="B31" s="3"/>
      <c r="C31" s="4"/>
      <c r="D31" s="5"/>
      <c r="E31" s="6">
        <v>11</v>
      </c>
      <c r="F31" s="7" t="s">
        <v>58</v>
      </c>
      <c r="G31" s="8" t="s">
        <v>13</v>
      </c>
      <c r="H31" s="9" t="s">
        <v>5</v>
      </c>
      <c r="I31" s="10">
        <v>3</v>
      </c>
      <c r="J31" s="11" t="s">
        <v>14</v>
      </c>
      <c r="K31" s="12" t="s">
        <v>6</v>
      </c>
      <c r="L31" s="13" t="s">
        <v>7</v>
      </c>
      <c r="M31" s="13"/>
      <c r="N31" s="14">
        <v>54000000</v>
      </c>
      <c r="O31" s="15">
        <v>1</v>
      </c>
      <c r="P31" s="15">
        <v>54000000</v>
      </c>
      <c r="Q31" s="16">
        <v>202501</v>
      </c>
      <c r="R31" s="2">
        <v>202503</v>
      </c>
      <c r="S31" s="2">
        <v>202503</v>
      </c>
      <c r="T31" s="11" t="s">
        <v>8</v>
      </c>
      <c r="U31" s="213">
        <v>202503</v>
      </c>
      <c r="V31" s="18" t="s">
        <v>7</v>
      </c>
      <c r="W31" s="19">
        <v>54000000</v>
      </c>
      <c r="X31" s="17" t="s">
        <v>12</v>
      </c>
      <c r="Y31" s="18" t="s">
        <v>12</v>
      </c>
      <c r="Z31" s="19" t="s">
        <v>12</v>
      </c>
      <c r="AA31" s="17" t="s">
        <v>12</v>
      </c>
      <c r="AB31" s="18" t="s">
        <v>12</v>
      </c>
      <c r="AC31" s="19" t="s">
        <v>12</v>
      </c>
      <c r="AD31" s="221">
        <f t="shared" si="1"/>
        <v>202503</v>
      </c>
      <c r="AE31" s="105"/>
      <c r="AF31" s="337"/>
      <c r="AG31" s="21" t="s">
        <v>48</v>
      </c>
    </row>
    <row r="32" spans="1:34" s="21" customFormat="1" ht="14.45" hidden="1" customHeight="1">
      <c r="A32" s="121"/>
      <c r="B32" s="3"/>
      <c r="C32" s="4"/>
      <c r="D32" s="5"/>
      <c r="E32" s="6">
        <v>12</v>
      </c>
      <c r="F32" s="7" t="s">
        <v>59</v>
      </c>
      <c r="G32" s="8" t="s">
        <v>13</v>
      </c>
      <c r="H32" s="9" t="s">
        <v>5</v>
      </c>
      <c r="I32" s="10">
        <v>3</v>
      </c>
      <c r="J32" s="11" t="s">
        <v>14</v>
      </c>
      <c r="K32" s="12" t="s">
        <v>6</v>
      </c>
      <c r="L32" s="13" t="s">
        <v>7</v>
      </c>
      <c r="M32" s="13"/>
      <c r="N32" s="14">
        <v>51000000</v>
      </c>
      <c r="O32" s="15">
        <v>1</v>
      </c>
      <c r="P32" s="15">
        <v>51000000</v>
      </c>
      <c r="Q32" s="16">
        <v>202502</v>
      </c>
      <c r="R32" s="2">
        <v>202504</v>
      </c>
      <c r="S32" s="2">
        <v>202504</v>
      </c>
      <c r="T32" s="11" t="s">
        <v>8</v>
      </c>
      <c r="U32" s="213">
        <v>202504</v>
      </c>
      <c r="V32" s="18" t="s">
        <v>7</v>
      </c>
      <c r="W32" s="19">
        <v>51000000</v>
      </c>
      <c r="X32" s="17" t="s">
        <v>12</v>
      </c>
      <c r="Y32" s="18" t="s">
        <v>12</v>
      </c>
      <c r="Z32" s="19" t="s">
        <v>12</v>
      </c>
      <c r="AA32" s="17" t="s">
        <v>12</v>
      </c>
      <c r="AB32" s="18" t="s">
        <v>12</v>
      </c>
      <c r="AC32" s="19" t="s">
        <v>12</v>
      </c>
      <c r="AD32" s="221">
        <f t="shared" si="1"/>
        <v>202504</v>
      </c>
      <c r="AE32" s="105"/>
      <c r="AF32" s="337"/>
      <c r="AG32" s="21" t="s">
        <v>48</v>
      </c>
    </row>
    <row r="33" spans="1:34" s="21" customFormat="1" ht="14.45" hidden="1" customHeight="1">
      <c r="A33" s="121"/>
      <c r="B33" s="3"/>
      <c r="C33" s="4"/>
      <c r="D33" s="5"/>
      <c r="E33" s="6">
        <v>13</v>
      </c>
      <c r="F33" s="7" t="s">
        <v>60</v>
      </c>
      <c r="G33" s="8" t="s">
        <v>13</v>
      </c>
      <c r="H33" s="9" t="s">
        <v>5</v>
      </c>
      <c r="I33" s="10">
        <v>3</v>
      </c>
      <c r="J33" s="11" t="s">
        <v>14</v>
      </c>
      <c r="K33" s="12" t="s">
        <v>6</v>
      </c>
      <c r="L33" s="13" t="s">
        <v>7</v>
      </c>
      <c r="M33" s="13"/>
      <c r="N33" s="14">
        <v>180000000</v>
      </c>
      <c r="O33" s="15">
        <v>1</v>
      </c>
      <c r="P33" s="15">
        <v>180000000</v>
      </c>
      <c r="Q33" s="16">
        <v>202503</v>
      </c>
      <c r="R33" s="2">
        <v>202506</v>
      </c>
      <c r="S33" s="2">
        <v>202506</v>
      </c>
      <c r="T33" s="11" t="s">
        <v>8</v>
      </c>
      <c r="U33" s="213">
        <v>202506</v>
      </c>
      <c r="V33" s="18" t="s">
        <v>7</v>
      </c>
      <c r="W33" s="19">
        <v>180000000</v>
      </c>
      <c r="X33" s="17" t="s">
        <v>12</v>
      </c>
      <c r="Y33" s="18" t="s">
        <v>12</v>
      </c>
      <c r="Z33" s="19" t="s">
        <v>12</v>
      </c>
      <c r="AA33" s="17" t="s">
        <v>12</v>
      </c>
      <c r="AB33" s="18" t="s">
        <v>12</v>
      </c>
      <c r="AC33" s="19" t="s">
        <v>12</v>
      </c>
      <c r="AD33" s="221">
        <f t="shared" si="1"/>
        <v>202506</v>
      </c>
      <c r="AE33" s="105"/>
      <c r="AF33" s="337"/>
      <c r="AG33" s="21" t="s">
        <v>48</v>
      </c>
    </row>
    <row r="34" spans="1:34" s="82" customFormat="1" ht="14.45" hidden="1" customHeight="1">
      <c r="A34" s="121"/>
      <c r="B34" s="83"/>
      <c r="C34" s="84"/>
      <c r="D34" s="85"/>
      <c r="E34" s="6">
        <v>14</v>
      </c>
      <c r="F34" s="7" t="s">
        <v>61</v>
      </c>
      <c r="G34" s="8" t="s">
        <v>13</v>
      </c>
      <c r="H34" s="9" t="s">
        <v>5</v>
      </c>
      <c r="I34" s="10">
        <v>1</v>
      </c>
      <c r="J34" s="11" t="s">
        <v>14</v>
      </c>
      <c r="K34" s="12" t="s">
        <v>6</v>
      </c>
      <c r="L34" s="13" t="s">
        <v>7</v>
      </c>
      <c r="M34" s="13"/>
      <c r="N34" s="14">
        <v>5000000</v>
      </c>
      <c r="O34" s="15">
        <v>1</v>
      </c>
      <c r="P34" s="15">
        <v>5000000</v>
      </c>
      <c r="Q34" s="16">
        <v>202408</v>
      </c>
      <c r="R34" s="2">
        <v>202409</v>
      </c>
      <c r="S34" s="2">
        <v>202409</v>
      </c>
      <c r="T34" s="11" t="s">
        <v>8</v>
      </c>
      <c r="U34" s="213">
        <v>202409</v>
      </c>
      <c r="V34" s="18" t="s">
        <v>7</v>
      </c>
      <c r="W34" s="19">
        <v>5000000</v>
      </c>
      <c r="X34" s="86" t="s">
        <v>12</v>
      </c>
      <c r="Y34" s="87" t="s">
        <v>12</v>
      </c>
      <c r="Z34" s="88" t="s">
        <v>12</v>
      </c>
      <c r="AA34" s="86" t="s">
        <v>12</v>
      </c>
      <c r="AB34" s="87" t="s">
        <v>12</v>
      </c>
      <c r="AC34" s="88" t="s">
        <v>12</v>
      </c>
      <c r="AD34" s="221">
        <f t="shared" si="1"/>
        <v>202409</v>
      </c>
      <c r="AE34" s="118"/>
      <c r="AF34" s="338"/>
      <c r="AG34" s="21" t="s">
        <v>48</v>
      </c>
    </row>
    <row r="35" spans="1:34" s="82" customFormat="1" ht="14.45" hidden="1" customHeight="1">
      <c r="A35" s="121"/>
      <c r="B35" s="83"/>
      <c r="C35" s="84"/>
      <c r="D35" s="85"/>
      <c r="E35" s="6">
        <v>15</v>
      </c>
      <c r="F35" s="7" t="s">
        <v>62</v>
      </c>
      <c r="G35" s="8" t="s">
        <v>13</v>
      </c>
      <c r="H35" s="9" t="s">
        <v>5</v>
      </c>
      <c r="I35" s="10">
        <v>1</v>
      </c>
      <c r="J35" s="11" t="s">
        <v>14</v>
      </c>
      <c r="K35" s="12" t="s">
        <v>6</v>
      </c>
      <c r="L35" s="13" t="s">
        <v>7</v>
      </c>
      <c r="M35" s="13"/>
      <c r="N35" s="14">
        <v>25000000</v>
      </c>
      <c r="O35" s="15">
        <v>1</v>
      </c>
      <c r="P35" s="15">
        <v>25000000</v>
      </c>
      <c r="Q35" s="16">
        <v>202409</v>
      </c>
      <c r="R35" s="2">
        <v>202410</v>
      </c>
      <c r="S35" s="2">
        <v>202410</v>
      </c>
      <c r="T35" s="11" t="s">
        <v>8</v>
      </c>
      <c r="U35" s="213">
        <v>202410</v>
      </c>
      <c r="V35" s="18" t="s">
        <v>7</v>
      </c>
      <c r="W35" s="19">
        <v>25000000</v>
      </c>
      <c r="X35" s="86" t="s">
        <v>12</v>
      </c>
      <c r="Y35" s="87" t="s">
        <v>12</v>
      </c>
      <c r="Z35" s="88" t="s">
        <v>12</v>
      </c>
      <c r="AA35" s="86" t="s">
        <v>12</v>
      </c>
      <c r="AB35" s="87" t="s">
        <v>12</v>
      </c>
      <c r="AC35" s="88" t="s">
        <v>12</v>
      </c>
      <c r="AD35" s="221">
        <f t="shared" si="1"/>
        <v>202410</v>
      </c>
      <c r="AE35" s="118"/>
      <c r="AF35" s="338"/>
      <c r="AG35" s="21" t="s">
        <v>48</v>
      </c>
    </row>
    <row r="36" spans="1:34" s="21" customFormat="1" ht="14.45" hidden="1" customHeight="1">
      <c r="A36" s="121"/>
      <c r="B36" s="3"/>
      <c r="C36" s="4"/>
      <c r="D36" s="5"/>
      <c r="E36" s="6"/>
      <c r="F36" s="7"/>
      <c r="G36" s="8"/>
      <c r="H36" s="9"/>
      <c r="I36" s="10"/>
      <c r="J36" s="11"/>
      <c r="K36" s="12"/>
      <c r="L36" s="13"/>
      <c r="M36" s="13"/>
      <c r="N36" s="14"/>
      <c r="O36" s="15"/>
      <c r="P36" s="15"/>
      <c r="Q36" s="16"/>
      <c r="R36" s="16"/>
      <c r="S36" s="16"/>
      <c r="T36" s="11"/>
      <c r="U36" s="213"/>
      <c r="V36" s="18"/>
      <c r="W36" s="19"/>
      <c r="X36" s="17"/>
      <c r="Y36" s="18"/>
      <c r="Z36" s="19"/>
      <c r="AA36" s="17"/>
      <c r="AB36" s="18"/>
      <c r="AC36" s="19"/>
      <c r="AD36" s="221"/>
      <c r="AE36" s="105"/>
      <c r="AF36" s="337"/>
    </row>
    <row r="37" spans="1:34" s="21" customFormat="1" ht="14.45" hidden="1" customHeight="1">
      <c r="A37" s="121"/>
      <c r="B37" s="3"/>
      <c r="C37" s="4"/>
      <c r="D37" s="5"/>
      <c r="E37" s="6"/>
      <c r="F37" s="7"/>
      <c r="G37" s="8"/>
      <c r="H37" s="9"/>
      <c r="I37" s="10"/>
      <c r="J37" s="11"/>
      <c r="K37" s="12"/>
      <c r="L37" s="13"/>
      <c r="M37" s="13"/>
      <c r="N37" s="14"/>
      <c r="O37" s="15"/>
      <c r="P37" s="15"/>
      <c r="Q37" s="16"/>
      <c r="R37" s="16"/>
      <c r="S37" s="16"/>
      <c r="T37" s="11"/>
      <c r="U37" s="213"/>
      <c r="V37" s="18"/>
      <c r="W37" s="19"/>
      <c r="X37" s="17"/>
      <c r="Y37" s="18"/>
      <c r="Z37" s="19"/>
      <c r="AA37" s="17"/>
      <c r="AB37" s="18"/>
      <c r="AC37" s="19"/>
      <c r="AD37" s="221"/>
      <c r="AE37" s="105"/>
      <c r="AF37" s="337"/>
    </row>
    <row r="38" spans="1:34" s="82" customFormat="1" ht="14.45" hidden="1" customHeight="1">
      <c r="A38" s="121" t="s">
        <v>63</v>
      </c>
      <c r="B38" s="3" t="s">
        <v>64</v>
      </c>
      <c r="C38" s="4">
        <v>1186000000</v>
      </c>
      <c r="D38" s="5">
        <v>1186000000</v>
      </c>
      <c r="E38" s="6">
        <v>1</v>
      </c>
      <c r="F38" s="7" t="s">
        <v>65</v>
      </c>
      <c r="G38" s="8" t="s">
        <v>13</v>
      </c>
      <c r="H38" s="9" t="s">
        <v>5</v>
      </c>
      <c r="I38" s="10">
        <v>2</v>
      </c>
      <c r="J38" s="11" t="s">
        <v>14</v>
      </c>
      <c r="K38" s="12" t="s">
        <v>6</v>
      </c>
      <c r="L38" s="13" t="s">
        <v>7</v>
      </c>
      <c r="M38" s="13"/>
      <c r="N38" s="14">
        <v>42000000</v>
      </c>
      <c r="O38" s="15">
        <v>1</v>
      </c>
      <c r="P38" s="15">
        <v>42000000</v>
      </c>
      <c r="Q38" s="16">
        <v>202404</v>
      </c>
      <c r="R38" s="2">
        <v>202405</v>
      </c>
      <c r="S38" s="2">
        <v>202405</v>
      </c>
      <c r="T38" s="11" t="s">
        <v>8</v>
      </c>
      <c r="U38" s="213">
        <v>202405</v>
      </c>
      <c r="V38" s="18" t="s">
        <v>7</v>
      </c>
      <c r="W38" s="19">
        <v>42000000</v>
      </c>
      <c r="X38" s="86" t="s">
        <v>12</v>
      </c>
      <c r="Y38" s="87" t="s">
        <v>12</v>
      </c>
      <c r="Z38" s="88" t="s">
        <v>12</v>
      </c>
      <c r="AA38" s="86" t="s">
        <v>12</v>
      </c>
      <c r="AB38" s="87" t="s">
        <v>12</v>
      </c>
      <c r="AC38" s="88" t="s">
        <v>12</v>
      </c>
      <c r="AD38" s="221">
        <f t="shared" ref="AD38:AD54" si="2">R38</f>
        <v>202405</v>
      </c>
      <c r="AE38" s="118"/>
      <c r="AF38" s="338"/>
      <c r="AG38" s="21" t="s">
        <v>48</v>
      </c>
      <c r="AH38" s="21" t="s">
        <v>66</v>
      </c>
    </row>
    <row r="39" spans="1:34" s="21" customFormat="1" ht="14.45" hidden="1" customHeight="1">
      <c r="A39" s="121"/>
      <c r="B39" s="3"/>
      <c r="C39" s="4"/>
      <c r="D39" s="5"/>
      <c r="E39" s="6">
        <v>2</v>
      </c>
      <c r="F39" s="7" t="s">
        <v>67</v>
      </c>
      <c r="G39" s="8" t="s">
        <v>13</v>
      </c>
      <c r="H39" s="9" t="s">
        <v>5</v>
      </c>
      <c r="I39" s="10">
        <v>2</v>
      </c>
      <c r="J39" s="11" t="s">
        <v>14</v>
      </c>
      <c r="K39" s="12" t="s">
        <v>6</v>
      </c>
      <c r="L39" s="13" t="s">
        <v>7</v>
      </c>
      <c r="M39" s="13"/>
      <c r="N39" s="14">
        <v>42000000</v>
      </c>
      <c r="O39" s="15">
        <v>1</v>
      </c>
      <c r="P39" s="15">
        <v>42000000</v>
      </c>
      <c r="Q39" s="16">
        <v>202405</v>
      </c>
      <c r="R39" s="2">
        <v>202406</v>
      </c>
      <c r="S39" s="2">
        <v>202406</v>
      </c>
      <c r="T39" s="11" t="s">
        <v>8</v>
      </c>
      <c r="U39" s="213">
        <v>202406</v>
      </c>
      <c r="V39" s="18" t="s">
        <v>7</v>
      </c>
      <c r="W39" s="19">
        <v>42000000</v>
      </c>
      <c r="X39" s="17"/>
      <c r="Y39" s="18"/>
      <c r="Z39" s="19"/>
      <c r="AA39" s="17"/>
      <c r="AB39" s="18"/>
      <c r="AC39" s="19"/>
      <c r="AD39" s="221">
        <f t="shared" si="2"/>
        <v>202406</v>
      </c>
      <c r="AE39" s="105"/>
      <c r="AF39" s="337"/>
      <c r="AG39" s="21" t="s">
        <v>48</v>
      </c>
      <c r="AH39" s="21" t="s">
        <v>68</v>
      </c>
    </row>
    <row r="40" spans="1:34" s="82" customFormat="1" ht="14.45" hidden="1" customHeight="1">
      <c r="A40" s="121"/>
      <c r="B40" s="83"/>
      <c r="C40" s="84"/>
      <c r="D40" s="85"/>
      <c r="E40" s="6">
        <v>3</v>
      </c>
      <c r="F40" s="7" t="s">
        <v>69</v>
      </c>
      <c r="G40" s="8" t="s">
        <v>13</v>
      </c>
      <c r="H40" s="9" t="s">
        <v>5</v>
      </c>
      <c r="I40" s="10">
        <v>2</v>
      </c>
      <c r="J40" s="11" t="s">
        <v>14</v>
      </c>
      <c r="K40" s="12" t="s">
        <v>6</v>
      </c>
      <c r="L40" s="13" t="s">
        <v>7</v>
      </c>
      <c r="M40" s="13"/>
      <c r="N40" s="14">
        <v>42000000</v>
      </c>
      <c r="O40" s="15">
        <v>1</v>
      </c>
      <c r="P40" s="15">
        <v>42000000</v>
      </c>
      <c r="Q40" s="16">
        <v>202406</v>
      </c>
      <c r="R40" s="2">
        <v>202407</v>
      </c>
      <c r="S40" s="2">
        <v>202407</v>
      </c>
      <c r="T40" s="11" t="s">
        <v>8</v>
      </c>
      <c r="U40" s="213">
        <v>202407</v>
      </c>
      <c r="V40" s="18" t="s">
        <v>7</v>
      </c>
      <c r="W40" s="19">
        <v>42000000</v>
      </c>
      <c r="X40" s="86" t="s">
        <v>12</v>
      </c>
      <c r="Y40" s="87" t="s">
        <v>12</v>
      </c>
      <c r="Z40" s="88" t="s">
        <v>12</v>
      </c>
      <c r="AA40" s="86" t="s">
        <v>12</v>
      </c>
      <c r="AB40" s="87" t="s">
        <v>12</v>
      </c>
      <c r="AC40" s="88" t="s">
        <v>12</v>
      </c>
      <c r="AD40" s="221">
        <f t="shared" si="2"/>
        <v>202407</v>
      </c>
      <c r="AE40" s="118"/>
      <c r="AF40" s="338"/>
      <c r="AG40" s="21" t="s">
        <v>48</v>
      </c>
      <c r="AH40" s="21" t="s">
        <v>70</v>
      </c>
    </row>
    <row r="41" spans="1:34" s="82" customFormat="1" ht="14.45" hidden="1" customHeight="1">
      <c r="A41" s="121"/>
      <c r="B41" s="83"/>
      <c r="C41" s="84"/>
      <c r="D41" s="85"/>
      <c r="E41" s="6">
        <v>4</v>
      </c>
      <c r="F41" s="7" t="s">
        <v>71</v>
      </c>
      <c r="G41" s="8" t="s">
        <v>13</v>
      </c>
      <c r="H41" s="9" t="s">
        <v>5</v>
      </c>
      <c r="I41" s="10">
        <v>2</v>
      </c>
      <c r="J41" s="11" t="s">
        <v>14</v>
      </c>
      <c r="K41" s="12" t="s">
        <v>6</v>
      </c>
      <c r="L41" s="13" t="s">
        <v>7</v>
      </c>
      <c r="M41" s="13"/>
      <c r="N41" s="14">
        <v>42000000</v>
      </c>
      <c r="O41" s="15">
        <v>1</v>
      </c>
      <c r="P41" s="15">
        <v>42000000</v>
      </c>
      <c r="Q41" s="16">
        <v>202407</v>
      </c>
      <c r="R41" s="2">
        <v>202408</v>
      </c>
      <c r="S41" s="2">
        <v>202408</v>
      </c>
      <c r="T41" s="11" t="s">
        <v>8</v>
      </c>
      <c r="U41" s="213">
        <v>202408</v>
      </c>
      <c r="V41" s="18" t="s">
        <v>7</v>
      </c>
      <c r="W41" s="19">
        <v>42000000</v>
      </c>
      <c r="X41" s="86" t="s">
        <v>12</v>
      </c>
      <c r="Y41" s="87" t="s">
        <v>12</v>
      </c>
      <c r="Z41" s="88" t="s">
        <v>12</v>
      </c>
      <c r="AA41" s="86" t="s">
        <v>12</v>
      </c>
      <c r="AB41" s="87" t="s">
        <v>12</v>
      </c>
      <c r="AC41" s="88" t="s">
        <v>12</v>
      </c>
      <c r="AD41" s="221">
        <f t="shared" si="2"/>
        <v>202408</v>
      </c>
      <c r="AE41" s="118"/>
      <c r="AF41" s="338"/>
      <c r="AG41" s="21" t="s">
        <v>48</v>
      </c>
      <c r="AH41" s="21" t="s">
        <v>72</v>
      </c>
    </row>
    <row r="42" spans="1:34" s="82" customFormat="1" ht="14.45" hidden="1" customHeight="1">
      <c r="A42" s="121"/>
      <c r="B42" s="83"/>
      <c r="C42" s="84"/>
      <c r="D42" s="85"/>
      <c r="E42" s="6">
        <v>5</v>
      </c>
      <c r="F42" s="7" t="s">
        <v>73</v>
      </c>
      <c r="G42" s="8" t="s">
        <v>13</v>
      </c>
      <c r="H42" s="9" t="s">
        <v>5</v>
      </c>
      <c r="I42" s="10">
        <v>2</v>
      </c>
      <c r="J42" s="11" t="s">
        <v>14</v>
      </c>
      <c r="K42" s="12" t="s">
        <v>6</v>
      </c>
      <c r="L42" s="13" t="s">
        <v>7</v>
      </c>
      <c r="M42" s="13"/>
      <c r="N42" s="14">
        <v>42000000</v>
      </c>
      <c r="O42" s="15">
        <v>1</v>
      </c>
      <c r="P42" s="15">
        <v>42000000</v>
      </c>
      <c r="Q42" s="16">
        <v>202408</v>
      </c>
      <c r="R42" s="2">
        <v>202409</v>
      </c>
      <c r="S42" s="2">
        <v>202409</v>
      </c>
      <c r="T42" s="11" t="s">
        <v>8</v>
      </c>
      <c r="U42" s="213">
        <v>202409</v>
      </c>
      <c r="V42" s="18" t="s">
        <v>7</v>
      </c>
      <c r="W42" s="19">
        <v>42000000</v>
      </c>
      <c r="X42" s="86" t="s">
        <v>12</v>
      </c>
      <c r="Y42" s="87" t="s">
        <v>12</v>
      </c>
      <c r="Z42" s="88" t="s">
        <v>12</v>
      </c>
      <c r="AA42" s="86" t="s">
        <v>12</v>
      </c>
      <c r="AB42" s="87" t="s">
        <v>12</v>
      </c>
      <c r="AC42" s="88" t="s">
        <v>12</v>
      </c>
      <c r="AD42" s="221">
        <f t="shared" si="2"/>
        <v>202409</v>
      </c>
      <c r="AE42" s="118"/>
      <c r="AF42" s="338"/>
      <c r="AG42" s="21" t="s">
        <v>48</v>
      </c>
      <c r="AH42" s="21" t="s">
        <v>74</v>
      </c>
    </row>
    <row r="43" spans="1:34" s="82" customFormat="1" ht="14.45" hidden="1" customHeight="1">
      <c r="A43" s="121"/>
      <c r="B43" s="83"/>
      <c r="C43" s="84"/>
      <c r="D43" s="85"/>
      <c r="E43" s="6">
        <v>6</v>
      </c>
      <c r="F43" s="7" t="s">
        <v>75</v>
      </c>
      <c r="G43" s="8" t="s">
        <v>13</v>
      </c>
      <c r="H43" s="9" t="s">
        <v>5</v>
      </c>
      <c r="I43" s="10">
        <v>2</v>
      </c>
      <c r="J43" s="11" t="s">
        <v>14</v>
      </c>
      <c r="K43" s="12" t="s">
        <v>6</v>
      </c>
      <c r="L43" s="13" t="s">
        <v>7</v>
      </c>
      <c r="M43" s="13"/>
      <c r="N43" s="14">
        <v>42000000</v>
      </c>
      <c r="O43" s="15">
        <v>1</v>
      </c>
      <c r="P43" s="15">
        <v>42000000</v>
      </c>
      <c r="Q43" s="16">
        <v>202409</v>
      </c>
      <c r="R43" s="2">
        <v>202410</v>
      </c>
      <c r="S43" s="2">
        <v>202410</v>
      </c>
      <c r="T43" s="11" t="s">
        <v>8</v>
      </c>
      <c r="U43" s="213">
        <v>202410</v>
      </c>
      <c r="V43" s="18" t="s">
        <v>7</v>
      </c>
      <c r="W43" s="19">
        <v>42000000</v>
      </c>
      <c r="X43" s="86" t="s">
        <v>12</v>
      </c>
      <c r="Y43" s="87" t="s">
        <v>12</v>
      </c>
      <c r="Z43" s="88" t="s">
        <v>12</v>
      </c>
      <c r="AA43" s="86" t="s">
        <v>12</v>
      </c>
      <c r="AB43" s="87" t="s">
        <v>12</v>
      </c>
      <c r="AC43" s="88" t="s">
        <v>12</v>
      </c>
      <c r="AD43" s="221">
        <f t="shared" si="2"/>
        <v>202410</v>
      </c>
      <c r="AE43" s="118"/>
      <c r="AF43" s="338"/>
      <c r="AG43" s="21" t="s">
        <v>48</v>
      </c>
      <c r="AH43" s="21" t="s">
        <v>76</v>
      </c>
    </row>
    <row r="44" spans="1:34" s="82" customFormat="1" ht="14.45" hidden="1" customHeight="1">
      <c r="A44" s="121"/>
      <c r="B44" s="83"/>
      <c r="C44" s="84"/>
      <c r="D44" s="85"/>
      <c r="E44" s="6">
        <v>7</v>
      </c>
      <c r="F44" s="7" t="s">
        <v>77</v>
      </c>
      <c r="G44" s="8" t="s">
        <v>13</v>
      </c>
      <c r="H44" s="9" t="s">
        <v>5</v>
      </c>
      <c r="I44" s="10">
        <v>2</v>
      </c>
      <c r="J44" s="11" t="s">
        <v>14</v>
      </c>
      <c r="K44" s="12" t="s">
        <v>6</v>
      </c>
      <c r="L44" s="13" t="s">
        <v>7</v>
      </c>
      <c r="M44" s="13"/>
      <c r="N44" s="14">
        <v>42000000</v>
      </c>
      <c r="O44" s="15">
        <v>1</v>
      </c>
      <c r="P44" s="15">
        <v>42000000</v>
      </c>
      <c r="Q44" s="16">
        <v>202410</v>
      </c>
      <c r="R44" s="2">
        <v>202411</v>
      </c>
      <c r="S44" s="2">
        <v>202411</v>
      </c>
      <c r="T44" s="11" t="s">
        <v>8</v>
      </c>
      <c r="U44" s="214">
        <v>202411</v>
      </c>
      <c r="V44" s="18" t="s">
        <v>7</v>
      </c>
      <c r="W44" s="19">
        <v>42000000</v>
      </c>
      <c r="X44" s="86" t="s">
        <v>12</v>
      </c>
      <c r="Y44" s="87" t="s">
        <v>12</v>
      </c>
      <c r="Z44" s="88" t="s">
        <v>12</v>
      </c>
      <c r="AA44" s="86" t="s">
        <v>12</v>
      </c>
      <c r="AB44" s="87" t="s">
        <v>12</v>
      </c>
      <c r="AC44" s="88" t="s">
        <v>12</v>
      </c>
      <c r="AD44" s="221">
        <f t="shared" si="2"/>
        <v>202411</v>
      </c>
      <c r="AE44" s="118"/>
      <c r="AF44" s="338"/>
      <c r="AG44" s="21" t="s">
        <v>48</v>
      </c>
      <c r="AH44" s="21" t="s">
        <v>78</v>
      </c>
    </row>
    <row r="45" spans="1:34" s="82" customFormat="1" ht="14.45" hidden="1" customHeight="1">
      <c r="A45" s="121"/>
      <c r="B45" s="83"/>
      <c r="C45" s="84"/>
      <c r="D45" s="85"/>
      <c r="E45" s="6">
        <v>8</v>
      </c>
      <c r="F45" s="7" t="s">
        <v>79</v>
      </c>
      <c r="G45" s="8" t="s">
        <v>13</v>
      </c>
      <c r="H45" s="9" t="s">
        <v>5</v>
      </c>
      <c r="I45" s="10">
        <v>2</v>
      </c>
      <c r="J45" s="11" t="s">
        <v>14</v>
      </c>
      <c r="K45" s="12" t="s">
        <v>6</v>
      </c>
      <c r="L45" s="13" t="s">
        <v>7</v>
      </c>
      <c r="M45" s="13"/>
      <c r="N45" s="14">
        <v>42000000</v>
      </c>
      <c r="O45" s="15">
        <v>1</v>
      </c>
      <c r="P45" s="15">
        <v>42000000</v>
      </c>
      <c r="Q45" s="16">
        <v>202411</v>
      </c>
      <c r="R45" s="2">
        <v>202412</v>
      </c>
      <c r="S45" s="2">
        <v>202412</v>
      </c>
      <c r="T45" s="11" t="s">
        <v>8</v>
      </c>
      <c r="U45" s="213">
        <v>202412</v>
      </c>
      <c r="V45" s="18" t="s">
        <v>7</v>
      </c>
      <c r="W45" s="19">
        <v>42000000</v>
      </c>
      <c r="X45" s="86" t="s">
        <v>12</v>
      </c>
      <c r="Y45" s="87" t="s">
        <v>12</v>
      </c>
      <c r="Z45" s="88" t="s">
        <v>12</v>
      </c>
      <c r="AA45" s="86" t="s">
        <v>12</v>
      </c>
      <c r="AB45" s="87" t="s">
        <v>12</v>
      </c>
      <c r="AC45" s="88" t="s">
        <v>12</v>
      </c>
      <c r="AD45" s="221">
        <f t="shared" si="2"/>
        <v>202412</v>
      </c>
      <c r="AE45" s="118"/>
      <c r="AF45" s="338"/>
      <c r="AG45" s="21" t="s">
        <v>48</v>
      </c>
      <c r="AH45" s="21" t="s">
        <v>80</v>
      </c>
    </row>
    <row r="46" spans="1:34" s="82" customFormat="1" ht="14.45" hidden="1" customHeight="1">
      <c r="A46" s="121"/>
      <c r="B46" s="83"/>
      <c r="C46" s="84"/>
      <c r="D46" s="85"/>
      <c r="E46" s="6">
        <v>9</v>
      </c>
      <c r="F46" s="7" t="s">
        <v>81</v>
      </c>
      <c r="G46" s="8" t="s">
        <v>13</v>
      </c>
      <c r="H46" s="9" t="s">
        <v>5</v>
      </c>
      <c r="I46" s="10">
        <v>2</v>
      </c>
      <c r="J46" s="11" t="s">
        <v>14</v>
      </c>
      <c r="K46" s="12" t="s">
        <v>6</v>
      </c>
      <c r="L46" s="13" t="s">
        <v>7</v>
      </c>
      <c r="M46" s="13"/>
      <c r="N46" s="14">
        <v>42000000</v>
      </c>
      <c r="O46" s="15">
        <v>1</v>
      </c>
      <c r="P46" s="15">
        <v>42000000</v>
      </c>
      <c r="Q46" s="16">
        <v>202412</v>
      </c>
      <c r="R46" s="2">
        <v>202501</v>
      </c>
      <c r="S46" s="2">
        <v>202501</v>
      </c>
      <c r="T46" s="11" t="s">
        <v>8</v>
      </c>
      <c r="U46" s="213">
        <v>202501</v>
      </c>
      <c r="V46" s="18" t="s">
        <v>7</v>
      </c>
      <c r="W46" s="19">
        <v>42000000</v>
      </c>
      <c r="X46" s="86" t="s">
        <v>12</v>
      </c>
      <c r="Y46" s="87" t="s">
        <v>12</v>
      </c>
      <c r="Z46" s="88" t="s">
        <v>12</v>
      </c>
      <c r="AA46" s="86" t="s">
        <v>12</v>
      </c>
      <c r="AB46" s="87" t="s">
        <v>12</v>
      </c>
      <c r="AC46" s="88" t="s">
        <v>12</v>
      </c>
      <c r="AD46" s="221">
        <f t="shared" si="2"/>
        <v>202501</v>
      </c>
      <c r="AE46" s="118"/>
      <c r="AF46" s="338"/>
      <c r="AG46" s="21" t="s">
        <v>48</v>
      </c>
      <c r="AH46" s="21" t="s">
        <v>82</v>
      </c>
    </row>
    <row r="47" spans="1:34" s="82" customFormat="1" ht="14.45" hidden="1" customHeight="1">
      <c r="A47" s="121"/>
      <c r="B47" s="83"/>
      <c r="C47" s="84"/>
      <c r="D47" s="85"/>
      <c r="E47" s="6">
        <v>10</v>
      </c>
      <c r="F47" s="7" t="s">
        <v>83</v>
      </c>
      <c r="G47" s="8" t="s">
        <v>13</v>
      </c>
      <c r="H47" s="9" t="s">
        <v>5</v>
      </c>
      <c r="I47" s="10">
        <v>2</v>
      </c>
      <c r="J47" s="11" t="s">
        <v>14</v>
      </c>
      <c r="K47" s="12" t="s">
        <v>6</v>
      </c>
      <c r="L47" s="13" t="s">
        <v>7</v>
      </c>
      <c r="M47" s="13"/>
      <c r="N47" s="14">
        <v>42000000</v>
      </c>
      <c r="O47" s="15">
        <v>1</v>
      </c>
      <c r="P47" s="15">
        <v>42000000</v>
      </c>
      <c r="Q47" s="16">
        <v>202501</v>
      </c>
      <c r="R47" s="2">
        <v>202502</v>
      </c>
      <c r="S47" s="2">
        <v>202502</v>
      </c>
      <c r="T47" s="11" t="s">
        <v>8</v>
      </c>
      <c r="U47" s="213">
        <v>202502</v>
      </c>
      <c r="V47" s="18" t="s">
        <v>7</v>
      </c>
      <c r="W47" s="19">
        <v>42000000</v>
      </c>
      <c r="X47" s="86" t="s">
        <v>12</v>
      </c>
      <c r="Y47" s="87" t="s">
        <v>12</v>
      </c>
      <c r="Z47" s="88" t="s">
        <v>12</v>
      </c>
      <c r="AA47" s="86" t="s">
        <v>12</v>
      </c>
      <c r="AB47" s="87" t="s">
        <v>12</v>
      </c>
      <c r="AC47" s="88" t="s">
        <v>12</v>
      </c>
      <c r="AD47" s="221">
        <f t="shared" si="2"/>
        <v>202502</v>
      </c>
      <c r="AE47" s="118"/>
      <c r="AF47" s="338"/>
      <c r="AG47" s="21" t="s">
        <v>48</v>
      </c>
      <c r="AH47" s="21" t="s">
        <v>84</v>
      </c>
    </row>
    <row r="48" spans="1:34" s="82" customFormat="1" ht="14.45" hidden="1" customHeight="1">
      <c r="A48" s="121"/>
      <c r="B48" s="83"/>
      <c r="C48" s="84"/>
      <c r="D48" s="85"/>
      <c r="E48" s="6">
        <v>11</v>
      </c>
      <c r="F48" s="7" t="s">
        <v>85</v>
      </c>
      <c r="G48" s="8" t="s">
        <v>13</v>
      </c>
      <c r="H48" s="9" t="s">
        <v>5</v>
      </c>
      <c r="I48" s="10">
        <v>2</v>
      </c>
      <c r="J48" s="11" t="s">
        <v>14</v>
      </c>
      <c r="K48" s="12" t="s">
        <v>6</v>
      </c>
      <c r="L48" s="13" t="s">
        <v>7</v>
      </c>
      <c r="M48" s="13"/>
      <c r="N48" s="14">
        <v>42000000</v>
      </c>
      <c r="O48" s="15">
        <v>1</v>
      </c>
      <c r="P48" s="15">
        <v>42000000</v>
      </c>
      <c r="Q48" s="16">
        <v>202502</v>
      </c>
      <c r="R48" s="2">
        <v>202503</v>
      </c>
      <c r="S48" s="2">
        <v>202503</v>
      </c>
      <c r="T48" s="11" t="s">
        <v>8</v>
      </c>
      <c r="U48" s="213">
        <v>202503</v>
      </c>
      <c r="V48" s="18" t="s">
        <v>7</v>
      </c>
      <c r="W48" s="19">
        <v>42000000</v>
      </c>
      <c r="X48" s="86" t="s">
        <v>12</v>
      </c>
      <c r="Y48" s="87" t="s">
        <v>12</v>
      </c>
      <c r="Z48" s="88" t="s">
        <v>12</v>
      </c>
      <c r="AA48" s="86" t="s">
        <v>12</v>
      </c>
      <c r="AB48" s="87" t="s">
        <v>12</v>
      </c>
      <c r="AC48" s="88" t="s">
        <v>12</v>
      </c>
      <c r="AD48" s="221">
        <f t="shared" si="2"/>
        <v>202503</v>
      </c>
      <c r="AE48" s="118"/>
      <c r="AF48" s="338"/>
      <c r="AG48" s="21" t="s">
        <v>48</v>
      </c>
      <c r="AH48" s="21" t="s">
        <v>86</v>
      </c>
    </row>
    <row r="49" spans="1:34" s="82" customFormat="1" ht="14.45" hidden="1" customHeight="1">
      <c r="A49" s="121"/>
      <c r="B49" s="83"/>
      <c r="C49" s="84"/>
      <c r="D49" s="85"/>
      <c r="E49" s="6">
        <v>12</v>
      </c>
      <c r="F49" s="7" t="s">
        <v>87</v>
      </c>
      <c r="G49" s="8" t="s">
        <v>13</v>
      </c>
      <c r="H49" s="9" t="s">
        <v>5</v>
      </c>
      <c r="I49" s="10">
        <v>2</v>
      </c>
      <c r="J49" s="11" t="s">
        <v>14</v>
      </c>
      <c r="K49" s="12" t="s">
        <v>6</v>
      </c>
      <c r="L49" s="13" t="s">
        <v>7</v>
      </c>
      <c r="M49" s="13"/>
      <c r="N49" s="14">
        <v>42000000</v>
      </c>
      <c r="O49" s="15">
        <v>1</v>
      </c>
      <c r="P49" s="15">
        <v>42000000</v>
      </c>
      <c r="Q49" s="16">
        <v>202503</v>
      </c>
      <c r="R49" s="2">
        <v>202504</v>
      </c>
      <c r="S49" s="2">
        <v>202504</v>
      </c>
      <c r="T49" s="11" t="s">
        <v>8</v>
      </c>
      <c r="U49" s="213">
        <v>202504</v>
      </c>
      <c r="V49" s="18" t="s">
        <v>7</v>
      </c>
      <c r="W49" s="19">
        <v>42000000</v>
      </c>
      <c r="X49" s="86" t="s">
        <v>12</v>
      </c>
      <c r="Y49" s="87" t="s">
        <v>12</v>
      </c>
      <c r="Z49" s="88" t="s">
        <v>12</v>
      </c>
      <c r="AA49" s="86" t="s">
        <v>12</v>
      </c>
      <c r="AB49" s="87" t="s">
        <v>12</v>
      </c>
      <c r="AC49" s="88" t="s">
        <v>12</v>
      </c>
      <c r="AD49" s="221">
        <f t="shared" si="2"/>
        <v>202504</v>
      </c>
      <c r="AE49" s="118"/>
      <c r="AF49" s="338"/>
      <c r="AG49" s="21" t="s">
        <v>48</v>
      </c>
      <c r="AH49" s="21" t="s">
        <v>88</v>
      </c>
    </row>
    <row r="50" spans="1:34" s="82" customFormat="1" ht="14.45" hidden="1" customHeight="1">
      <c r="A50" s="121"/>
      <c r="B50" s="83"/>
      <c r="C50" s="84"/>
      <c r="D50" s="85"/>
      <c r="E50" s="6">
        <v>13</v>
      </c>
      <c r="F50" s="7" t="s">
        <v>89</v>
      </c>
      <c r="G50" s="8" t="s">
        <v>13</v>
      </c>
      <c r="H50" s="9" t="s">
        <v>5</v>
      </c>
      <c r="I50" s="10">
        <v>3</v>
      </c>
      <c r="J50" s="11" t="s">
        <v>14</v>
      </c>
      <c r="K50" s="12" t="s">
        <v>6</v>
      </c>
      <c r="L50" s="13" t="s">
        <v>7</v>
      </c>
      <c r="M50" s="13"/>
      <c r="N50" s="14">
        <v>36000000</v>
      </c>
      <c r="O50" s="15">
        <v>1</v>
      </c>
      <c r="P50" s="15">
        <v>36000000</v>
      </c>
      <c r="Q50" s="16">
        <v>202405</v>
      </c>
      <c r="R50" s="2">
        <v>202406</v>
      </c>
      <c r="S50" s="2">
        <v>202406</v>
      </c>
      <c r="T50" s="11" t="s">
        <v>8</v>
      </c>
      <c r="U50" s="213">
        <v>202406</v>
      </c>
      <c r="V50" s="18" t="s">
        <v>7</v>
      </c>
      <c r="W50" s="19">
        <v>36000000</v>
      </c>
      <c r="X50" s="86" t="s">
        <v>12</v>
      </c>
      <c r="Y50" s="87"/>
      <c r="Z50" s="88"/>
      <c r="AA50" s="86" t="s">
        <v>12</v>
      </c>
      <c r="AB50" s="87"/>
      <c r="AC50" s="88"/>
      <c r="AD50" s="221">
        <f t="shared" si="2"/>
        <v>202406</v>
      </c>
      <c r="AE50" s="118"/>
      <c r="AF50" s="338"/>
      <c r="AG50" s="21" t="s">
        <v>48</v>
      </c>
      <c r="AH50" s="21" t="s">
        <v>90</v>
      </c>
    </row>
    <row r="51" spans="1:34" s="82" customFormat="1" ht="14.45" hidden="1" customHeight="1">
      <c r="A51" s="121"/>
      <c r="B51" s="83"/>
      <c r="C51" s="84"/>
      <c r="D51" s="85"/>
      <c r="E51" s="6">
        <v>14</v>
      </c>
      <c r="F51" s="7" t="s">
        <v>91</v>
      </c>
      <c r="G51" s="8" t="s">
        <v>13</v>
      </c>
      <c r="H51" s="9" t="s">
        <v>5</v>
      </c>
      <c r="I51" s="10">
        <v>1</v>
      </c>
      <c r="J51" s="11" t="s">
        <v>14</v>
      </c>
      <c r="K51" s="12" t="s">
        <v>6</v>
      </c>
      <c r="L51" s="13" t="s">
        <v>7</v>
      </c>
      <c r="M51" s="13"/>
      <c r="N51" s="14">
        <v>330000000</v>
      </c>
      <c r="O51" s="15">
        <v>1</v>
      </c>
      <c r="P51" s="15">
        <v>330000000</v>
      </c>
      <c r="Q51" s="16">
        <v>202404</v>
      </c>
      <c r="R51" s="2">
        <v>202405</v>
      </c>
      <c r="S51" s="2">
        <v>202405</v>
      </c>
      <c r="T51" s="11" t="s">
        <v>8</v>
      </c>
      <c r="U51" s="213">
        <v>202405</v>
      </c>
      <c r="V51" s="18" t="s">
        <v>7</v>
      </c>
      <c r="W51" s="19">
        <v>330000000</v>
      </c>
      <c r="X51" s="86" t="s">
        <v>12</v>
      </c>
      <c r="Y51" s="87"/>
      <c r="Z51" s="88"/>
      <c r="AA51" s="86" t="s">
        <v>12</v>
      </c>
      <c r="AB51" s="87"/>
      <c r="AC51" s="88"/>
      <c r="AD51" s="221">
        <f t="shared" si="2"/>
        <v>202405</v>
      </c>
      <c r="AE51" s="118"/>
      <c r="AF51" s="338"/>
      <c r="AG51" s="21" t="s">
        <v>48</v>
      </c>
      <c r="AH51" s="21" t="s">
        <v>92</v>
      </c>
    </row>
    <row r="52" spans="1:34" s="21" customFormat="1" ht="14.45" hidden="1" customHeight="1">
      <c r="A52" s="121"/>
      <c r="B52" s="3"/>
      <c r="C52" s="4"/>
      <c r="D52" s="5"/>
      <c r="E52" s="6">
        <v>15</v>
      </c>
      <c r="F52" s="7" t="s">
        <v>93</v>
      </c>
      <c r="G52" s="8" t="s">
        <v>13</v>
      </c>
      <c r="H52" s="9" t="s">
        <v>5</v>
      </c>
      <c r="I52" s="10">
        <v>1</v>
      </c>
      <c r="J52" s="11" t="s">
        <v>14</v>
      </c>
      <c r="K52" s="12" t="s">
        <v>6</v>
      </c>
      <c r="L52" s="13" t="s">
        <v>7</v>
      </c>
      <c r="M52" s="13"/>
      <c r="N52" s="14">
        <v>50000000</v>
      </c>
      <c r="O52" s="15">
        <v>1</v>
      </c>
      <c r="P52" s="15">
        <v>50000000</v>
      </c>
      <c r="Q52" s="16">
        <v>202412</v>
      </c>
      <c r="R52" s="16">
        <v>202501</v>
      </c>
      <c r="S52" s="2">
        <v>202501</v>
      </c>
      <c r="T52" s="11" t="s">
        <v>8</v>
      </c>
      <c r="U52" s="213">
        <v>202501</v>
      </c>
      <c r="V52" s="18" t="s">
        <v>7</v>
      </c>
      <c r="W52" s="19">
        <v>50000000</v>
      </c>
      <c r="X52" s="17" t="s">
        <v>12</v>
      </c>
      <c r="Y52" s="18" t="s">
        <v>12</v>
      </c>
      <c r="Z52" s="19" t="s">
        <v>12</v>
      </c>
      <c r="AA52" s="17" t="s">
        <v>12</v>
      </c>
      <c r="AB52" s="18" t="s">
        <v>12</v>
      </c>
      <c r="AC52" s="19" t="s">
        <v>12</v>
      </c>
      <c r="AD52" s="221">
        <f t="shared" si="2"/>
        <v>202501</v>
      </c>
      <c r="AE52" s="105"/>
      <c r="AF52" s="337"/>
      <c r="AG52" s="21" t="s">
        <v>48</v>
      </c>
    </row>
    <row r="53" spans="1:34" s="21" customFormat="1" ht="14.45" hidden="1" customHeight="1">
      <c r="A53" s="121"/>
      <c r="B53" s="3"/>
      <c r="C53" s="4"/>
      <c r="D53" s="5"/>
      <c r="E53" s="6">
        <v>16</v>
      </c>
      <c r="F53" s="7" t="s">
        <v>94</v>
      </c>
      <c r="G53" s="8" t="s">
        <v>13</v>
      </c>
      <c r="H53" s="9" t="s">
        <v>5</v>
      </c>
      <c r="I53" s="10">
        <v>3</v>
      </c>
      <c r="J53" s="11" t="s">
        <v>14</v>
      </c>
      <c r="K53" s="12" t="s">
        <v>6</v>
      </c>
      <c r="L53" s="13" t="s">
        <v>7</v>
      </c>
      <c r="M53" s="13"/>
      <c r="N53" s="14">
        <v>216000000</v>
      </c>
      <c r="O53" s="15">
        <v>1</v>
      </c>
      <c r="P53" s="15">
        <v>216000000</v>
      </c>
      <c r="Q53" s="16">
        <v>202406</v>
      </c>
      <c r="R53" s="16">
        <v>202407</v>
      </c>
      <c r="S53" s="16">
        <v>202407</v>
      </c>
      <c r="T53" s="11" t="s">
        <v>8</v>
      </c>
      <c r="U53" s="213">
        <v>202407</v>
      </c>
      <c r="V53" s="18" t="s">
        <v>7</v>
      </c>
      <c r="W53" s="19">
        <v>216000000</v>
      </c>
      <c r="X53" s="17"/>
      <c r="Y53" s="18"/>
      <c r="Z53" s="19"/>
      <c r="AA53" s="17"/>
      <c r="AB53" s="18"/>
      <c r="AC53" s="19"/>
      <c r="AD53" s="221">
        <f t="shared" si="2"/>
        <v>202407</v>
      </c>
      <c r="AE53" s="105"/>
      <c r="AF53" s="337"/>
    </row>
    <row r="54" spans="1:34" s="21" customFormat="1" ht="14.45" hidden="1" customHeight="1">
      <c r="A54" s="121"/>
      <c r="B54" s="3"/>
      <c r="C54" s="4"/>
      <c r="D54" s="5"/>
      <c r="E54" s="6">
        <v>17</v>
      </c>
      <c r="F54" s="7" t="s">
        <v>95</v>
      </c>
      <c r="G54" s="8" t="s">
        <v>13</v>
      </c>
      <c r="H54" s="9" t="s">
        <v>5</v>
      </c>
      <c r="I54" s="10">
        <v>1</v>
      </c>
      <c r="J54" s="11" t="s">
        <v>14</v>
      </c>
      <c r="K54" s="12" t="s">
        <v>6</v>
      </c>
      <c r="L54" s="13" t="s">
        <v>7</v>
      </c>
      <c r="M54" s="13"/>
      <c r="N54" s="14">
        <v>50000000</v>
      </c>
      <c r="O54" s="15">
        <v>1</v>
      </c>
      <c r="P54" s="15">
        <v>50000000</v>
      </c>
      <c r="Q54" s="16">
        <v>202409</v>
      </c>
      <c r="R54" s="16">
        <v>202410</v>
      </c>
      <c r="S54" s="16">
        <v>202410</v>
      </c>
      <c r="T54" s="11" t="s">
        <v>8</v>
      </c>
      <c r="U54" s="213">
        <v>202410</v>
      </c>
      <c r="V54" s="18" t="s">
        <v>7</v>
      </c>
      <c r="W54" s="19">
        <v>50000000</v>
      </c>
      <c r="X54" s="17"/>
      <c r="Y54" s="18"/>
      <c r="Z54" s="19"/>
      <c r="AA54" s="17"/>
      <c r="AB54" s="18"/>
      <c r="AC54" s="19"/>
      <c r="AD54" s="221">
        <f t="shared" si="2"/>
        <v>202410</v>
      </c>
      <c r="AE54" s="105"/>
      <c r="AF54" s="337"/>
    </row>
    <row r="55" spans="1:34" s="21" customFormat="1" ht="14.45" hidden="1" customHeight="1">
      <c r="A55" s="121"/>
      <c r="B55" s="3"/>
      <c r="C55" s="4"/>
      <c r="D55" s="5"/>
      <c r="E55" s="6"/>
      <c r="F55" s="7"/>
      <c r="G55" s="8"/>
      <c r="H55" s="9"/>
      <c r="I55" s="10"/>
      <c r="J55" s="11"/>
      <c r="K55" s="12"/>
      <c r="L55" s="13"/>
      <c r="M55" s="13"/>
      <c r="N55" s="14"/>
      <c r="O55" s="15"/>
      <c r="P55" s="15"/>
      <c r="Q55" s="16"/>
      <c r="R55" s="16"/>
      <c r="S55" s="16"/>
      <c r="T55" s="11"/>
      <c r="U55" s="213"/>
      <c r="V55" s="18"/>
      <c r="W55" s="19"/>
      <c r="X55" s="17"/>
      <c r="Y55" s="18"/>
      <c r="Z55" s="19"/>
      <c r="AA55" s="17"/>
      <c r="AB55" s="18"/>
      <c r="AC55" s="19"/>
      <c r="AD55" s="221"/>
      <c r="AE55" s="105"/>
      <c r="AF55" s="337"/>
    </row>
    <row r="56" spans="1:34" s="21" customFormat="1" ht="14.45" hidden="1" customHeight="1">
      <c r="A56" s="121" t="s">
        <v>96</v>
      </c>
      <c r="B56" s="3" t="s">
        <v>97</v>
      </c>
      <c r="C56" s="4">
        <v>1500000000</v>
      </c>
      <c r="D56" s="5">
        <v>1500000000</v>
      </c>
      <c r="E56" s="6">
        <v>1</v>
      </c>
      <c r="F56" s="7" t="s">
        <v>98</v>
      </c>
      <c r="G56" s="8" t="s">
        <v>13</v>
      </c>
      <c r="H56" s="9" t="s">
        <v>5</v>
      </c>
      <c r="I56" s="10">
        <v>1</v>
      </c>
      <c r="J56" s="11" t="s">
        <v>14</v>
      </c>
      <c r="K56" s="12" t="s">
        <v>6</v>
      </c>
      <c r="L56" s="13" t="s">
        <v>7</v>
      </c>
      <c r="M56" s="13"/>
      <c r="N56" s="14">
        <v>1500000000</v>
      </c>
      <c r="O56" s="15">
        <v>1</v>
      </c>
      <c r="P56" s="15">
        <v>1500000000</v>
      </c>
      <c r="Q56" s="16">
        <v>202404</v>
      </c>
      <c r="R56" s="16">
        <v>202405</v>
      </c>
      <c r="S56" s="16">
        <v>202405</v>
      </c>
      <c r="T56" s="11" t="s">
        <v>8</v>
      </c>
      <c r="U56" s="213">
        <v>202405</v>
      </c>
      <c r="V56" s="18" t="s">
        <v>7</v>
      </c>
      <c r="W56" s="19">
        <v>1500000000</v>
      </c>
      <c r="X56" s="17" t="s">
        <v>12</v>
      </c>
      <c r="Y56" s="18" t="s">
        <v>12</v>
      </c>
      <c r="Z56" s="19" t="s">
        <v>12</v>
      </c>
      <c r="AA56" s="17" t="s">
        <v>12</v>
      </c>
      <c r="AB56" s="18" t="s">
        <v>12</v>
      </c>
      <c r="AC56" s="19" t="s">
        <v>12</v>
      </c>
      <c r="AD56" s="221">
        <f>R56</f>
        <v>202405</v>
      </c>
      <c r="AE56" s="105"/>
      <c r="AF56" s="337"/>
      <c r="AG56" s="21" t="s">
        <v>48</v>
      </c>
    </row>
    <row r="57" spans="1:34" s="21" customFormat="1" ht="14.45" hidden="1" customHeight="1">
      <c r="A57" s="121"/>
      <c r="B57" s="3"/>
      <c r="C57" s="4"/>
      <c r="D57" s="5"/>
      <c r="E57" s="6"/>
      <c r="F57" s="7"/>
      <c r="G57" s="8"/>
      <c r="H57" s="9"/>
      <c r="I57" s="10"/>
      <c r="J57" s="11"/>
      <c r="K57" s="12"/>
      <c r="L57" s="13"/>
      <c r="M57" s="13"/>
      <c r="N57" s="14"/>
      <c r="O57" s="15"/>
      <c r="P57" s="15"/>
      <c r="Q57" s="16"/>
      <c r="R57" s="16"/>
      <c r="S57" s="16"/>
      <c r="T57" s="11"/>
      <c r="U57" s="213"/>
      <c r="V57" s="18"/>
      <c r="W57" s="19"/>
      <c r="X57" s="17"/>
      <c r="Y57" s="18"/>
      <c r="Z57" s="19"/>
      <c r="AA57" s="17"/>
      <c r="AB57" s="18"/>
      <c r="AC57" s="19"/>
      <c r="AD57" s="221"/>
      <c r="AE57" s="105"/>
      <c r="AF57" s="337"/>
    </row>
    <row r="58" spans="1:34" s="21" customFormat="1" ht="14.45" hidden="1" customHeight="1">
      <c r="A58" s="121" t="s">
        <v>99</v>
      </c>
      <c r="B58" s="3" t="s">
        <v>100</v>
      </c>
      <c r="C58" s="4">
        <v>400000000</v>
      </c>
      <c r="D58" s="5">
        <v>400000000</v>
      </c>
      <c r="E58" s="81">
        <v>1</v>
      </c>
      <c r="F58" s="107" t="s">
        <v>101</v>
      </c>
      <c r="G58" s="8" t="s">
        <v>13</v>
      </c>
      <c r="H58" s="9" t="s">
        <v>5</v>
      </c>
      <c r="I58" s="10">
        <v>1</v>
      </c>
      <c r="J58" s="11" t="s">
        <v>14</v>
      </c>
      <c r="K58" s="12" t="s">
        <v>6</v>
      </c>
      <c r="L58" s="13" t="s">
        <v>7</v>
      </c>
      <c r="M58" s="13"/>
      <c r="N58" s="14">
        <v>200000000</v>
      </c>
      <c r="O58" s="15">
        <v>1</v>
      </c>
      <c r="P58" s="15">
        <v>200000000</v>
      </c>
      <c r="Q58" s="16">
        <v>202409</v>
      </c>
      <c r="R58" s="16">
        <v>202410</v>
      </c>
      <c r="S58" s="16">
        <v>202411</v>
      </c>
      <c r="T58" s="11" t="s">
        <v>8</v>
      </c>
      <c r="U58" s="213">
        <v>202411</v>
      </c>
      <c r="V58" s="18" t="s">
        <v>7</v>
      </c>
      <c r="W58" s="19">
        <v>200000000</v>
      </c>
      <c r="X58" s="17" t="s">
        <v>12</v>
      </c>
      <c r="Y58" s="18" t="s">
        <v>12</v>
      </c>
      <c r="Z58" s="19" t="s">
        <v>12</v>
      </c>
      <c r="AA58" s="17" t="s">
        <v>12</v>
      </c>
      <c r="AB58" s="18" t="s">
        <v>12</v>
      </c>
      <c r="AC58" s="19" t="s">
        <v>12</v>
      </c>
      <c r="AD58" s="221">
        <f>R58</f>
        <v>202410</v>
      </c>
      <c r="AE58" s="105"/>
      <c r="AF58" s="337"/>
      <c r="AG58" s="21" t="s">
        <v>102</v>
      </c>
      <c r="AH58" s="21" t="s">
        <v>103</v>
      </c>
    </row>
    <row r="59" spans="1:34" s="21" customFormat="1" ht="14.45" hidden="1" customHeight="1">
      <c r="A59" s="121"/>
      <c r="B59" s="3"/>
      <c r="C59" s="4"/>
      <c r="D59" s="5"/>
      <c r="E59" s="6">
        <v>2</v>
      </c>
      <c r="F59" s="7" t="s">
        <v>104</v>
      </c>
      <c r="G59" s="8" t="s">
        <v>13</v>
      </c>
      <c r="H59" s="9" t="s">
        <v>5</v>
      </c>
      <c r="I59" s="10">
        <v>1</v>
      </c>
      <c r="J59" s="11" t="s">
        <v>14</v>
      </c>
      <c r="K59" s="12" t="s">
        <v>6</v>
      </c>
      <c r="L59" s="13" t="s">
        <v>7</v>
      </c>
      <c r="M59" s="13"/>
      <c r="N59" s="14">
        <v>200000000</v>
      </c>
      <c r="O59" s="15">
        <v>1</v>
      </c>
      <c r="P59" s="15">
        <v>200000000</v>
      </c>
      <c r="Q59" s="16">
        <v>202409</v>
      </c>
      <c r="R59" s="16">
        <v>202410</v>
      </c>
      <c r="S59" s="16">
        <v>202411</v>
      </c>
      <c r="T59" s="11" t="s">
        <v>8</v>
      </c>
      <c r="U59" s="213">
        <v>202411</v>
      </c>
      <c r="V59" s="18" t="s">
        <v>7</v>
      </c>
      <c r="W59" s="19">
        <v>200000000</v>
      </c>
      <c r="X59" s="17" t="s">
        <v>12</v>
      </c>
      <c r="Y59" s="18" t="s">
        <v>12</v>
      </c>
      <c r="Z59" s="19" t="s">
        <v>12</v>
      </c>
      <c r="AA59" s="17" t="s">
        <v>12</v>
      </c>
      <c r="AB59" s="18" t="s">
        <v>12</v>
      </c>
      <c r="AC59" s="19" t="s">
        <v>12</v>
      </c>
      <c r="AD59" s="221">
        <f>R59</f>
        <v>202410</v>
      </c>
      <c r="AE59" s="105"/>
      <c r="AF59" s="337"/>
      <c r="AG59" s="21" t="s">
        <v>102</v>
      </c>
      <c r="AH59" s="21" t="s">
        <v>103</v>
      </c>
    </row>
    <row r="60" spans="1:34" s="21" customFormat="1" ht="14.45" hidden="1" customHeight="1">
      <c r="A60" s="121"/>
      <c r="B60" s="3"/>
      <c r="C60" s="4"/>
      <c r="D60" s="5"/>
      <c r="E60" s="6"/>
      <c r="F60" s="7"/>
      <c r="G60" s="8"/>
      <c r="H60" s="9"/>
      <c r="I60" s="10"/>
      <c r="J60" s="11"/>
      <c r="K60" s="12"/>
      <c r="L60" s="13"/>
      <c r="M60" s="13"/>
      <c r="N60" s="14"/>
      <c r="O60" s="15"/>
      <c r="P60" s="15"/>
      <c r="Q60" s="16"/>
      <c r="R60" s="16"/>
      <c r="S60" s="16"/>
      <c r="T60" s="11"/>
      <c r="U60" s="213"/>
      <c r="V60" s="18"/>
      <c r="W60" s="19"/>
      <c r="X60" s="17"/>
      <c r="Y60" s="18"/>
      <c r="Z60" s="19"/>
      <c r="AA60" s="17"/>
      <c r="AB60" s="18"/>
      <c r="AC60" s="19"/>
      <c r="AD60" s="221"/>
      <c r="AE60" s="105"/>
      <c r="AF60" s="337"/>
    </row>
    <row r="61" spans="1:34" s="21" customFormat="1" ht="14.45" hidden="1" customHeight="1">
      <c r="A61" s="121" t="s">
        <v>105</v>
      </c>
      <c r="B61" s="3"/>
      <c r="C61" s="4"/>
      <c r="D61" s="5"/>
      <c r="E61" s="6"/>
      <c r="F61" s="7"/>
      <c r="G61" s="8"/>
      <c r="H61" s="9"/>
      <c r="I61" s="10"/>
      <c r="J61" s="11"/>
      <c r="K61" s="12"/>
      <c r="L61" s="13"/>
      <c r="M61" s="13"/>
      <c r="N61" s="14"/>
      <c r="O61" s="15"/>
      <c r="P61" s="15"/>
      <c r="Q61" s="16"/>
      <c r="R61" s="16"/>
      <c r="S61" s="16"/>
      <c r="T61" s="11"/>
      <c r="U61" s="213"/>
      <c r="V61" s="18"/>
      <c r="W61" s="19"/>
      <c r="X61" s="17"/>
      <c r="Y61" s="18"/>
      <c r="Z61" s="19"/>
      <c r="AA61" s="17"/>
      <c r="AB61" s="18"/>
      <c r="AC61" s="19"/>
      <c r="AD61" s="221"/>
      <c r="AE61" s="105"/>
      <c r="AF61" s="337"/>
    </row>
    <row r="62" spans="1:34" s="21" customFormat="1" ht="14.45" hidden="1" customHeight="1">
      <c r="A62" s="121" t="s">
        <v>106</v>
      </c>
      <c r="B62" s="3" t="s">
        <v>107</v>
      </c>
      <c r="C62" s="4">
        <v>195000000</v>
      </c>
      <c r="D62" s="5">
        <v>195000000</v>
      </c>
      <c r="E62" s="6">
        <v>1</v>
      </c>
      <c r="F62" s="7" t="s">
        <v>108</v>
      </c>
      <c r="G62" s="8" t="s">
        <v>13</v>
      </c>
      <c r="H62" s="9" t="s">
        <v>5</v>
      </c>
      <c r="I62" s="10">
        <v>1</v>
      </c>
      <c r="J62" s="11" t="s">
        <v>14</v>
      </c>
      <c r="K62" s="12" t="s">
        <v>6</v>
      </c>
      <c r="L62" s="13" t="s">
        <v>7</v>
      </c>
      <c r="M62" s="13"/>
      <c r="N62" s="14">
        <v>39000000</v>
      </c>
      <c r="O62" s="15">
        <v>1</v>
      </c>
      <c r="P62" s="15">
        <v>39000000</v>
      </c>
      <c r="Q62" s="16">
        <v>202406</v>
      </c>
      <c r="R62" s="16">
        <v>202407</v>
      </c>
      <c r="S62" s="16">
        <v>202407</v>
      </c>
      <c r="T62" s="11" t="s">
        <v>8</v>
      </c>
      <c r="U62" s="213">
        <v>202407</v>
      </c>
      <c r="V62" s="18" t="s">
        <v>7</v>
      </c>
      <c r="W62" s="19">
        <v>39000000</v>
      </c>
      <c r="X62" s="17" t="s">
        <v>12</v>
      </c>
      <c r="Y62" s="18" t="s">
        <v>12</v>
      </c>
      <c r="Z62" s="19" t="s">
        <v>12</v>
      </c>
      <c r="AA62" s="17" t="s">
        <v>12</v>
      </c>
      <c r="AB62" s="18" t="s">
        <v>12</v>
      </c>
      <c r="AC62" s="19" t="s">
        <v>12</v>
      </c>
      <c r="AD62" s="221">
        <f>R62</f>
        <v>202407</v>
      </c>
      <c r="AE62" s="105"/>
      <c r="AF62" s="337"/>
      <c r="AG62" s="21" t="s">
        <v>109</v>
      </c>
      <c r="AH62" s="21" t="s">
        <v>110</v>
      </c>
    </row>
    <row r="63" spans="1:34" s="21" customFormat="1" ht="14.45" hidden="1" customHeight="1">
      <c r="A63" s="121"/>
      <c r="B63" s="3"/>
      <c r="C63" s="4"/>
      <c r="D63" s="5"/>
      <c r="E63" s="6">
        <v>2</v>
      </c>
      <c r="F63" s="7" t="s">
        <v>111</v>
      </c>
      <c r="G63" s="8" t="s">
        <v>13</v>
      </c>
      <c r="H63" s="9" t="s">
        <v>5</v>
      </c>
      <c r="I63" s="10">
        <v>1</v>
      </c>
      <c r="J63" s="11" t="s">
        <v>14</v>
      </c>
      <c r="K63" s="12" t="s">
        <v>6</v>
      </c>
      <c r="L63" s="13" t="s">
        <v>7</v>
      </c>
      <c r="M63" s="13"/>
      <c r="N63" s="14">
        <v>39000000</v>
      </c>
      <c r="O63" s="15">
        <v>1</v>
      </c>
      <c r="P63" s="15">
        <v>39000000</v>
      </c>
      <c r="Q63" s="16">
        <v>202408</v>
      </c>
      <c r="R63" s="16">
        <v>202409</v>
      </c>
      <c r="S63" s="16">
        <v>202409</v>
      </c>
      <c r="T63" s="11" t="s">
        <v>8</v>
      </c>
      <c r="U63" s="213">
        <v>202409</v>
      </c>
      <c r="V63" s="18" t="s">
        <v>7</v>
      </c>
      <c r="W63" s="19">
        <v>39000000</v>
      </c>
      <c r="X63" s="17" t="s">
        <v>12</v>
      </c>
      <c r="Y63" s="18" t="s">
        <v>12</v>
      </c>
      <c r="Z63" s="19" t="s">
        <v>12</v>
      </c>
      <c r="AA63" s="17" t="s">
        <v>12</v>
      </c>
      <c r="AB63" s="18" t="s">
        <v>12</v>
      </c>
      <c r="AC63" s="19" t="s">
        <v>12</v>
      </c>
      <c r="AD63" s="221">
        <f>R63</f>
        <v>202409</v>
      </c>
      <c r="AE63" s="105"/>
      <c r="AF63" s="337"/>
      <c r="AG63" s="21" t="s">
        <v>109</v>
      </c>
      <c r="AH63" s="21" t="s">
        <v>110</v>
      </c>
    </row>
    <row r="64" spans="1:34" s="21" customFormat="1" ht="14.45" hidden="1" customHeight="1">
      <c r="A64" s="121"/>
      <c r="B64" s="3"/>
      <c r="C64" s="4"/>
      <c r="D64" s="5"/>
      <c r="E64" s="6">
        <v>3</v>
      </c>
      <c r="F64" s="7" t="s">
        <v>112</v>
      </c>
      <c r="G64" s="8" t="s">
        <v>13</v>
      </c>
      <c r="H64" s="9" t="s">
        <v>5</v>
      </c>
      <c r="I64" s="10">
        <v>1</v>
      </c>
      <c r="J64" s="11" t="s">
        <v>14</v>
      </c>
      <c r="K64" s="12" t="s">
        <v>6</v>
      </c>
      <c r="L64" s="13" t="s">
        <v>7</v>
      </c>
      <c r="M64" s="13"/>
      <c r="N64" s="14">
        <v>39000000</v>
      </c>
      <c r="O64" s="15">
        <v>1</v>
      </c>
      <c r="P64" s="15">
        <v>39000000</v>
      </c>
      <c r="Q64" s="16">
        <v>202410</v>
      </c>
      <c r="R64" s="16">
        <v>202411</v>
      </c>
      <c r="S64" s="16">
        <v>202411</v>
      </c>
      <c r="T64" s="11" t="s">
        <v>8</v>
      </c>
      <c r="U64" s="213">
        <v>202411</v>
      </c>
      <c r="V64" s="18" t="s">
        <v>7</v>
      </c>
      <c r="W64" s="19">
        <v>39000000</v>
      </c>
      <c r="X64" s="17" t="s">
        <v>12</v>
      </c>
      <c r="Y64" s="18" t="s">
        <v>12</v>
      </c>
      <c r="Z64" s="19" t="s">
        <v>12</v>
      </c>
      <c r="AA64" s="17" t="s">
        <v>12</v>
      </c>
      <c r="AB64" s="18" t="s">
        <v>12</v>
      </c>
      <c r="AC64" s="19" t="s">
        <v>12</v>
      </c>
      <c r="AD64" s="221">
        <f>R64</f>
        <v>202411</v>
      </c>
      <c r="AE64" s="105"/>
      <c r="AF64" s="337"/>
      <c r="AG64" s="21" t="s">
        <v>109</v>
      </c>
      <c r="AH64" s="21" t="s">
        <v>110</v>
      </c>
    </row>
    <row r="65" spans="1:34" s="21" customFormat="1" ht="14.45" hidden="1" customHeight="1">
      <c r="A65" s="121"/>
      <c r="B65" s="3"/>
      <c r="C65" s="4"/>
      <c r="D65" s="5"/>
      <c r="E65" s="6">
        <v>4</v>
      </c>
      <c r="F65" s="7" t="s">
        <v>113</v>
      </c>
      <c r="G65" s="8" t="s">
        <v>13</v>
      </c>
      <c r="H65" s="9" t="s">
        <v>5</v>
      </c>
      <c r="I65" s="10">
        <v>1</v>
      </c>
      <c r="J65" s="11" t="s">
        <v>14</v>
      </c>
      <c r="K65" s="12" t="s">
        <v>6</v>
      </c>
      <c r="L65" s="13" t="s">
        <v>7</v>
      </c>
      <c r="M65" s="13"/>
      <c r="N65" s="14">
        <v>39000000</v>
      </c>
      <c r="O65" s="15">
        <v>1</v>
      </c>
      <c r="P65" s="15">
        <v>39000000</v>
      </c>
      <c r="Q65" s="16">
        <v>202404</v>
      </c>
      <c r="R65" s="16">
        <v>202405</v>
      </c>
      <c r="S65" s="16">
        <v>202411</v>
      </c>
      <c r="T65" s="11" t="s">
        <v>8</v>
      </c>
      <c r="U65" s="213">
        <v>202411</v>
      </c>
      <c r="V65" s="18" t="s">
        <v>7</v>
      </c>
      <c r="W65" s="19">
        <v>39000000</v>
      </c>
      <c r="X65" s="17" t="s">
        <v>12</v>
      </c>
      <c r="Y65" s="18" t="s">
        <v>12</v>
      </c>
      <c r="Z65" s="19" t="s">
        <v>12</v>
      </c>
      <c r="AA65" s="17" t="s">
        <v>12</v>
      </c>
      <c r="AB65" s="18" t="s">
        <v>12</v>
      </c>
      <c r="AC65" s="19" t="s">
        <v>12</v>
      </c>
      <c r="AD65" s="221">
        <f>R65</f>
        <v>202405</v>
      </c>
      <c r="AE65" s="105"/>
      <c r="AF65" s="337"/>
      <c r="AG65" s="21" t="s">
        <v>114</v>
      </c>
      <c r="AH65" s="21" t="s">
        <v>110</v>
      </c>
    </row>
    <row r="66" spans="1:34" s="21" customFormat="1" ht="14.45" hidden="1" customHeight="1">
      <c r="A66" s="121"/>
      <c r="B66" s="3"/>
      <c r="C66" s="4"/>
      <c r="D66" s="5"/>
      <c r="E66" s="6">
        <v>5</v>
      </c>
      <c r="F66" s="7" t="s">
        <v>115</v>
      </c>
      <c r="G66" s="8" t="s">
        <v>13</v>
      </c>
      <c r="H66" s="9" t="s">
        <v>5</v>
      </c>
      <c r="I66" s="10">
        <v>1</v>
      </c>
      <c r="J66" s="11" t="s">
        <v>14</v>
      </c>
      <c r="K66" s="12" t="s">
        <v>6</v>
      </c>
      <c r="L66" s="13" t="s">
        <v>7</v>
      </c>
      <c r="M66" s="13"/>
      <c r="N66" s="14">
        <v>39000000</v>
      </c>
      <c r="O66" s="15">
        <v>1</v>
      </c>
      <c r="P66" s="15">
        <v>39000000</v>
      </c>
      <c r="Q66" s="16">
        <v>202404</v>
      </c>
      <c r="R66" s="16">
        <v>202405</v>
      </c>
      <c r="S66" s="16">
        <v>202411</v>
      </c>
      <c r="T66" s="11" t="s">
        <v>8</v>
      </c>
      <c r="U66" s="213">
        <v>202411</v>
      </c>
      <c r="V66" s="18" t="s">
        <v>7</v>
      </c>
      <c r="W66" s="19">
        <v>39000000</v>
      </c>
      <c r="X66" s="17" t="s">
        <v>12</v>
      </c>
      <c r="Y66" s="18" t="s">
        <v>12</v>
      </c>
      <c r="Z66" s="19" t="s">
        <v>12</v>
      </c>
      <c r="AA66" s="17" t="s">
        <v>12</v>
      </c>
      <c r="AB66" s="18" t="s">
        <v>12</v>
      </c>
      <c r="AC66" s="19" t="s">
        <v>12</v>
      </c>
      <c r="AD66" s="221">
        <f>R66</f>
        <v>202405</v>
      </c>
      <c r="AE66" s="105"/>
      <c r="AF66" s="337"/>
      <c r="AG66" s="21" t="s">
        <v>114</v>
      </c>
      <c r="AH66" s="21" t="s">
        <v>110</v>
      </c>
    </row>
    <row r="67" spans="1:34" s="21" customFormat="1" ht="14.45" hidden="1" customHeight="1">
      <c r="A67" s="121" t="s">
        <v>116</v>
      </c>
      <c r="B67" s="3"/>
      <c r="C67" s="4"/>
      <c r="D67" s="5"/>
      <c r="E67" s="6"/>
      <c r="F67" s="7"/>
      <c r="G67" s="8"/>
      <c r="H67" s="9"/>
      <c r="I67" s="10"/>
      <c r="J67" s="11"/>
      <c r="K67" s="12"/>
      <c r="L67" s="13"/>
      <c r="M67" s="13"/>
      <c r="N67" s="14"/>
      <c r="O67" s="15"/>
      <c r="P67" s="15"/>
      <c r="Q67" s="16"/>
      <c r="R67" s="16"/>
      <c r="S67" s="16"/>
      <c r="T67" s="11"/>
      <c r="U67" s="213"/>
      <c r="V67" s="18"/>
      <c r="W67" s="19"/>
      <c r="X67" s="17"/>
      <c r="Y67" s="18"/>
      <c r="Z67" s="19"/>
      <c r="AA67" s="17"/>
      <c r="AB67" s="18"/>
      <c r="AC67" s="19"/>
      <c r="AD67" s="221"/>
      <c r="AE67" s="105"/>
      <c r="AF67" s="337"/>
    </row>
    <row r="68" spans="1:34" s="21" customFormat="1" ht="14.45" hidden="1" customHeight="1">
      <c r="A68" s="121" t="s">
        <v>117</v>
      </c>
      <c r="B68" s="3" t="s">
        <v>118</v>
      </c>
      <c r="C68" s="4">
        <v>150000000</v>
      </c>
      <c r="D68" s="5">
        <v>150000000</v>
      </c>
      <c r="E68" s="6">
        <v>1</v>
      </c>
      <c r="F68" s="7" t="s">
        <v>119</v>
      </c>
      <c r="G68" s="8" t="s">
        <v>13</v>
      </c>
      <c r="H68" s="9" t="s">
        <v>5</v>
      </c>
      <c r="I68" s="10">
        <v>1</v>
      </c>
      <c r="J68" s="11" t="s">
        <v>14</v>
      </c>
      <c r="K68" s="12" t="s">
        <v>6</v>
      </c>
      <c r="L68" s="13" t="s">
        <v>7</v>
      </c>
      <c r="M68" s="13"/>
      <c r="N68" s="14">
        <v>150000000</v>
      </c>
      <c r="O68" s="15">
        <v>1</v>
      </c>
      <c r="P68" s="15">
        <v>150000000</v>
      </c>
      <c r="Q68" s="16">
        <v>202411</v>
      </c>
      <c r="R68" s="16">
        <v>202412</v>
      </c>
      <c r="S68" s="16">
        <v>202501</v>
      </c>
      <c r="T68" s="11" t="s">
        <v>8</v>
      </c>
      <c r="U68" s="213">
        <v>202501</v>
      </c>
      <c r="V68" s="18" t="s">
        <v>7</v>
      </c>
      <c r="W68" s="19">
        <v>150000000</v>
      </c>
      <c r="X68" s="17"/>
      <c r="Y68" s="18"/>
      <c r="Z68" s="19"/>
      <c r="AA68" s="17"/>
      <c r="AB68" s="18"/>
      <c r="AC68" s="19"/>
      <c r="AD68" s="221">
        <f>R68</f>
        <v>202412</v>
      </c>
      <c r="AE68" s="105"/>
      <c r="AF68" s="337"/>
      <c r="AG68" s="21" t="s">
        <v>48</v>
      </c>
    </row>
    <row r="69" spans="1:34" s="21" customFormat="1" ht="14.45" hidden="1" customHeight="1">
      <c r="A69" s="121"/>
      <c r="B69" s="3"/>
      <c r="C69" s="4"/>
      <c r="D69" s="5"/>
      <c r="E69" s="6"/>
      <c r="F69" s="7"/>
      <c r="G69" s="8"/>
      <c r="H69" s="9"/>
      <c r="I69" s="10"/>
      <c r="J69" s="11"/>
      <c r="K69" s="12"/>
      <c r="L69" s="13"/>
      <c r="M69" s="13"/>
      <c r="N69" s="14"/>
      <c r="O69" s="15"/>
      <c r="P69" s="15"/>
      <c r="Q69" s="16"/>
      <c r="R69" s="16"/>
      <c r="S69" s="16"/>
      <c r="T69" s="11"/>
      <c r="U69" s="213"/>
      <c r="V69" s="18"/>
      <c r="W69" s="19"/>
      <c r="X69" s="17"/>
      <c r="Y69" s="18"/>
      <c r="Z69" s="19"/>
      <c r="AA69" s="17"/>
      <c r="AB69" s="18"/>
      <c r="AC69" s="19"/>
      <c r="AD69" s="221"/>
      <c r="AE69" s="105"/>
      <c r="AF69" s="337"/>
    </row>
    <row r="70" spans="1:34" s="21" customFormat="1" ht="14.45" hidden="1" customHeight="1">
      <c r="A70" s="121" t="s">
        <v>120</v>
      </c>
      <c r="B70" s="3" t="s">
        <v>121</v>
      </c>
      <c r="C70" s="4">
        <v>400000000</v>
      </c>
      <c r="D70" s="5">
        <v>400000000</v>
      </c>
      <c r="E70" s="6">
        <v>1</v>
      </c>
      <c r="F70" s="7" t="s">
        <v>122</v>
      </c>
      <c r="G70" s="8" t="s">
        <v>13</v>
      </c>
      <c r="H70" s="9" t="s">
        <v>5</v>
      </c>
      <c r="I70" s="10">
        <v>1</v>
      </c>
      <c r="J70" s="11" t="s">
        <v>14</v>
      </c>
      <c r="K70" s="12" t="s">
        <v>6</v>
      </c>
      <c r="L70" s="13" t="s">
        <v>7</v>
      </c>
      <c r="M70" s="13"/>
      <c r="N70" s="14">
        <v>200000000</v>
      </c>
      <c r="O70" s="15">
        <v>1</v>
      </c>
      <c r="P70" s="15">
        <v>200000000</v>
      </c>
      <c r="Q70" s="16">
        <v>202406</v>
      </c>
      <c r="R70" s="16">
        <v>202407</v>
      </c>
      <c r="S70" s="16">
        <v>202408</v>
      </c>
      <c r="T70" s="11" t="s">
        <v>8</v>
      </c>
      <c r="U70" s="213">
        <v>202408</v>
      </c>
      <c r="V70" s="18" t="s">
        <v>7</v>
      </c>
      <c r="W70" s="19">
        <v>200000000</v>
      </c>
      <c r="X70" s="17" t="s">
        <v>12</v>
      </c>
      <c r="Y70" s="18" t="s">
        <v>12</v>
      </c>
      <c r="Z70" s="19" t="s">
        <v>12</v>
      </c>
      <c r="AA70" s="17" t="s">
        <v>12</v>
      </c>
      <c r="AB70" s="18" t="s">
        <v>12</v>
      </c>
      <c r="AC70" s="19" t="s">
        <v>12</v>
      </c>
      <c r="AD70" s="221">
        <f>R70</f>
        <v>202407</v>
      </c>
      <c r="AE70" s="105"/>
      <c r="AF70" s="337"/>
      <c r="AG70" s="21" t="s">
        <v>48</v>
      </c>
    </row>
    <row r="71" spans="1:34" s="21" customFormat="1" ht="14.45" hidden="1" customHeight="1">
      <c r="A71" s="121"/>
      <c r="B71" s="3"/>
      <c r="C71" s="4"/>
      <c r="D71" s="5"/>
      <c r="E71" s="6">
        <v>2</v>
      </c>
      <c r="F71" s="7" t="s">
        <v>121</v>
      </c>
      <c r="G71" s="8" t="s">
        <v>13</v>
      </c>
      <c r="H71" s="9" t="s">
        <v>5</v>
      </c>
      <c r="I71" s="10">
        <v>1</v>
      </c>
      <c r="J71" s="11" t="s">
        <v>14</v>
      </c>
      <c r="K71" s="12" t="s">
        <v>6</v>
      </c>
      <c r="L71" s="13" t="s">
        <v>7</v>
      </c>
      <c r="M71" s="13"/>
      <c r="N71" s="14">
        <v>200000000</v>
      </c>
      <c r="O71" s="15">
        <v>1</v>
      </c>
      <c r="P71" s="15">
        <v>200000000</v>
      </c>
      <c r="Q71" s="16">
        <v>202409</v>
      </c>
      <c r="R71" s="16">
        <v>202410</v>
      </c>
      <c r="S71" s="16">
        <v>202411</v>
      </c>
      <c r="T71" s="11" t="s">
        <v>8</v>
      </c>
      <c r="U71" s="213">
        <v>202411</v>
      </c>
      <c r="V71" s="18" t="s">
        <v>7</v>
      </c>
      <c r="W71" s="19">
        <v>200000000</v>
      </c>
      <c r="X71" s="17"/>
      <c r="Y71" s="18"/>
      <c r="Z71" s="19"/>
      <c r="AA71" s="17"/>
      <c r="AB71" s="18"/>
      <c r="AC71" s="19"/>
      <c r="AD71" s="221">
        <f>R71</f>
        <v>202410</v>
      </c>
      <c r="AE71" s="105"/>
      <c r="AF71" s="337"/>
    </row>
    <row r="72" spans="1:34" s="21" customFormat="1" ht="14.45" hidden="1" customHeight="1">
      <c r="A72" s="121"/>
      <c r="B72" s="3"/>
      <c r="C72" s="4"/>
      <c r="D72" s="5"/>
      <c r="E72" s="6"/>
      <c r="F72" s="7"/>
      <c r="G72" s="8"/>
      <c r="H72" s="9"/>
      <c r="I72" s="10"/>
      <c r="J72" s="11"/>
      <c r="K72" s="12"/>
      <c r="L72" s="13"/>
      <c r="M72" s="13"/>
      <c r="N72" s="14"/>
      <c r="O72" s="15"/>
      <c r="P72" s="15"/>
      <c r="Q72" s="16"/>
      <c r="R72" s="16"/>
      <c r="S72" s="16"/>
      <c r="T72" s="11"/>
      <c r="U72" s="213"/>
      <c r="V72" s="18"/>
      <c r="W72" s="19"/>
      <c r="X72" s="17"/>
      <c r="Y72" s="18"/>
      <c r="Z72" s="19"/>
      <c r="AA72" s="17"/>
      <c r="AB72" s="18"/>
      <c r="AC72" s="19"/>
      <c r="AD72" s="221"/>
      <c r="AE72" s="105"/>
      <c r="AF72" s="337"/>
    </row>
    <row r="73" spans="1:34" s="21" customFormat="1" ht="14.45" hidden="1" customHeight="1">
      <c r="A73" s="121" t="s">
        <v>123</v>
      </c>
      <c r="B73" s="3" t="s">
        <v>124</v>
      </c>
      <c r="C73" s="4">
        <v>1200000000</v>
      </c>
      <c r="D73" s="5">
        <v>1200000000</v>
      </c>
      <c r="E73" s="6">
        <v>1</v>
      </c>
      <c r="F73" s="7" t="s">
        <v>125</v>
      </c>
      <c r="G73" s="8" t="s">
        <v>13</v>
      </c>
      <c r="H73" s="9" t="s">
        <v>5</v>
      </c>
      <c r="I73" s="10">
        <v>1</v>
      </c>
      <c r="J73" s="11" t="s">
        <v>14</v>
      </c>
      <c r="K73" s="12" t="s">
        <v>6</v>
      </c>
      <c r="L73" s="13" t="s">
        <v>7</v>
      </c>
      <c r="M73" s="13"/>
      <c r="N73" s="14">
        <v>1200000000</v>
      </c>
      <c r="O73" s="15">
        <v>1</v>
      </c>
      <c r="P73" s="15">
        <v>1200000000</v>
      </c>
      <c r="Q73" s="16">
        <v>202411</v>
      </c>
      <c r="R73" s="16">
        <v>202412</v>
      </c>
      <c r="S73" s="16">
        <v>202501</v>
      </c>
      <c r="T73" s="11" t="s">
        <v>8</v>
      </c>
      <c r="U73" s="213">
        <v>202501</v>
      </c>
      <c r="V73" s="18" t="s">
        <v>7</v>
      </c>
      <c r="W73" s="19">
        <v>1200000000</v>
      </c>
      <c r="X73" s="17" t="s">
        <v>12</v>
      </c>
      <c r="Y73" s="18" t="s">
        <v>12</v>
      </c>
      <c r="Z73" s="19" t="s">
        <v>12</v>
      </c>
      <c r="AA73" s="17" t="s">
        <v>12</v>
      </c>
      <c r="AB73" s="18" t="s">
        <v>12</v>
      </c>
      <c r="AC73" s="19" t="s">
        <v>12</v>
      </c>
      <c r="AD73" s="221">
        <f>R73</f>
        <v>202412</v>
      </c>
      <c r="AE73" s="105"/>
      <c r="AF73" s="337"/>
      <c r="AG73" s="21" t="s">
        <v>126</v>
      </c>
    </row>
    <row r="74" spans="1:34" s="21" customFormat="1" ht="14.45" hidden="1" customHeight="1">
      <c r="A74" s="121"/>
      <c r="B74" s="3"/>
      <c r="C74" s="4"/>
      <c r="D74" s="5"/>
      <c r="E74" s="6"/>
      <c r="F74" s="7"/>
      <c r="G74" s="8"/>
      <c r="H74" s="9"/>
      <c r="I74" s="10"/>
      <c r="J74" s="11"/>
      <c r="K74" s="12"/>
      <c r="L74" s="13"/>
      <c r="M74" s="13"/>
      <c r="N74" s="14"/>
      <c r="O74" s="15"/>
      <c r="P74" s="15"/>
      <c r="Q74" s="16"/>
      <c r="R74" s="16"/>
      <c r="S74" s="16"/>
      <c r="T74" s="11"/>
      <c r="U74" s="213"/>
      <c r="V74" s="18"/>
      <c r="W74" s="19"/>
      <c r="X74" s="17"/>
      <c r="Y74" s="18"/>
      <c r="Z74" s="19"/>
      <c r="AA74" s="17"/>
      <c r="AB74" s="18"/>
      <c r="AC74" s="19"/>
      <c r="AD74" s="221"/>
      <c r="AE74" s="105"/>
      <c r="AF74" s="337"/>
    </row>
    <row r="75" spans="1:34" s="21" customFormat="1" ht="14.45" hidden="1" customHeight="1">
      <c r="A75" s="121" t="s">
        <v>127</v>
      </c>
      <c r="B75" s="3" t="s">
        <v>128</v>
      </c>
      <c r="C75" s="4">
        <v>190000000</v>
      </c>
      <c r="D75" s="4">
        <v>190000000</v>
      </c>
      <c r="E75" s="6">
        <v>1</v>
      </c>
      <c r="F75" s="7" t="s">
        <v>129</v>
      </c>
      <c r="G75" s="8" t="s">
        <v>13</v>
      </c>
      <c r="H75" s="9" t="s">
        <v>5</v>
      </c>
      <c r="I75" s="10">
        <v>2</v>
      </c>
      <c r="J75" s="11" t="s">
        <v>14</v>
      </c>
      <c r="K75" s="12" t="s">
        <v>6</v>
      </c>
      <c r="L75" s="13" t="s">
        <v>7</v>
      </c>
      <c r="M75" s="13"/>
      <c r="N75" s="14">
        <v>48000000</v>
      </c>
      <c r="O75" s="15">
        <v>1</v>
      </c>
      <c r="P75" s="15">
        <v>48000000</v>
      </c>
      <c r="Q75" s="16">
        <v>202410</v>
      </c>
      <c r="R75" s="16">
        <v>202411</v>
      </c>
      <c r="S75" s="16">
        <v>202411</v>
      </c>
      <c r="T75" s="11" t="s">
        <v>8</v>
      </c>
      <c r="U75" s="214">
        <v>202411</v>
      </c>
      <c r="V75" s="18" t="s">
        <v>7</v>
      </c>
      <c r="W75" s="19">
        <v>48000000</v>
      </c>
      <c r="X75" s="17"/>
      <c r="Y75" s="18"/>
      <c r="Z75" s="19"/>
      <c r="AA75" s="17"/>
      <c r="AB75" s="18"/>
      <c r="AC75" s="19"/>
      <c r="AD75" s="221">
        <f>R75</f>
        <v>202411</v>
      </c>
      <c r="AE75" s="105"/>
      <c r="AF75" s="337"/>
      <c r="AG75" s="21" t="s">
        <v>130</v>
      </c>
      <c r="AH75" s="21" t="s">
        <v>131</v>
      </c>
    </row>
    <row r="76" spans="1:34" s="21" customFormat="1" ht="14.45" hidden="1" customHeight="1">
      <c r="A76" s="121"/>
      <c r="B76" s="3"/>
      <c r="C76" s="4"/>
      <c r="D76" s="5"/>
      <c r="E76" s="6">
        <v>2</v>
      </c>
      <c r="F76" s="7" t="s">
        <v>132</v>
      </c>
      <c r="G76" s="8" t="s">
        <v>13</v>
      </c>
      <c r="H76" s="9" t="s">
        <v>5</v>
      </c>
      <c r="I76" s="10">
        <v>2</v>
      </c>
      <c r="J76" s="11" t="s">
        <v>14</v>
      </c>
      <c r="K76" s="12" t="s">
        <v>6</v>
      </c>
      <c r="L76" s="13" t="s">
        <v>7</v>
      </c>
      <c r="M76" s="13"/>
      <c r="N76" s="14">
        <v>4000000</v>
      </c>
      <c r="O76" s="15">
        <v>1</v>
      </c>
      <c r="P76" s="15">
        <v>4000000</v>
      </c>
      <c r="Q76" s="16">
        <v>202410</v>
      </c>
      <c r="R76" s="16">
        <v>202411</v>
      </c>
      <c r="S76" s="16">
        <v>202411</v>
      </c>
      <c r="T76" s="11" t="s">
        <v>8</v>
      </c>
      <c r="U76" s="214">
        <v>202411</v>
      </c>
      <c r="V76" s="18" t="s">
        <v>7</v>
      </c>
      <c r="W76" s="19">
        <v>4000000</v>
      </c>
      <c r="X76" s="17"/>
      <c r="Y76" s="18"/>
      <c r="Z76" s="19"/>
      <c r="AA76" s="17"/>
      <c r="AB76" s="18"/>
      <c r="AC76" s="19"/>
      <c r="AD76" s="221">
        <f>R76</f>
        <v>202411</v>
      </c>
      <c r="AE76" s="105"/>
      <c r="AF76" s="337"/>
      <c r="AG76" s="21" t="s">
        <v>130</v>
      </c>
    </row>
    <row r="77" spans="1:34" s="21" customFormat="1" ht="14.45" hidden="1" customHeight="1">
      <c r="A77" s="121"/>
      <c r="B77" s="3"/>
      <c r="C77" s="4"/>
      <c r="D77" s="5"/>
      <c r="E77" s="6">
        <v>3</v>
      </c>
      <c r="F77" s="7" t="s">
        <v>133</v>
      </c>
      <c r="G77" s="8" t="s">
        <v>13</v>
      </c>
      <c r="H77" s="9" t="s">
        <v>5</v>
      </c>
      <c r="I77" s="10">
        <v>2</v>
      </c>
      <c r="J77" s="11" t="s">
        <v>14</v>
      </c>
      <c r="K77" s="12" t="s">
        <v>6</v>
      </c>
      <c r="L77" s="13" t="s">
        <v>7</v>
      </c>
      <c r="M77" s="13"/>
      <c r="N77" s="14">
        <v>38000000</v>
      </c>
      <c r="O77" s="15">
        <v>1</v>
      </c>
      <c r="P77" s="15">
        <v>38000000</v>
      </c>
      <c r="Q77" s="16">
        <v>202410</v>
      </c>
      <c r="R77" s="16">
        <v>202411</v>
      </c>
      <c r="S77" s="16">
        <v>202411</v>
      </c>
      <c r="T77" s="11" t="s">
        <v>8</v>
      </c>
      <c r="U77" s="214">
        <v>202411</v>
      </c>
      <c r="V77" s="18" t="s">
        <v>7</v>
      </c>
      <c r="W77" s="19">
        <v>38000000</v>
      </c>
      <c r="X77" s="17"/>
      <c r="Y77" s="18"/>
      <c r="Z77" s="19"/>
      <c r="AA77" s="17"/>
      <c r="AB77" s="18"/>
      <c r="AC77" s="19"/>
      <c r="AD77" s="221">
        <f>R77</f>
        <v>202411</v>
      </c>
      <c r="AE77" s="105"/>
      <c r="AF77" s="337"/>
      <c r="AG77" s="21" t="s">
        <v>130</v>
      </c>
    </row>
    <row r="78" spans="1:34" s="21" customFormat="1" ht="14.45" hidden="1" customHeight="1">
      <c r="A78" s="121"/>
      <c r="B78" s="3"/>
      <c r="C78" s="4"/>
      <c r="D78" s="5"/>
      <c r="E78" s="6">
        <v>4</v>
      </c>
      <c r="F78" s="7" t="s">
        <v>134</v>
      </c>
      <c r="G78" s="8" t="s">
        <v>13</v>
      </c>
      <c r="H78" s="9" t="s">
        <v>5</v>
      </c>
      <c r="I78" s="10">
        <v>1</v>
      </c>
      <c r="J78" s="11" t="s">
        <v>14</v>
      </c>
      <c r="K78" s="12" t="s">
        <v>6</v>
      </c>
      <c r="L78" s="13" t="s">
        <v>7</v>
      </c>
      <c r="M78" s="13"/>
      <c r="N78" s="14">
        <v>100000000</v>
      </c>
      <c r="O78" s="15">
        <v>1</v>
      </c>
      <c r="P78" s="15">
        <v>100000000</v>
      </c>
      <c r="Q78" s="16">
        <v>202410</v>
      </c>
      <c r="R78" s="16">
        <v>202411</v>
      </c>
      <c r="S78" s="16">
        <v>202411</v>
      </c>
      <c r="T78" s="11" t="s">
        <v>8</v>
      </c>
      <c r="U78" s="214">
        <v>202411</v>
      </c>
      <c r="V78" s="18" t="s">
        <v>7</v>
      </c>
      <c r="W78" s="19">
        <v>100000000</v>
      </c>
      <c r="X78" s="17"/>
      <c r="Y78" s="18"/>
      <c r="Z78" s="19"/>
      <c r="AA78" s="17"/>
      <c r="AB78" s="18"/>
      <c r="AC78" s="19"/>
      <c r="AD78" s="221">
        <f>R78</f>
        <v>202411</v>
      </c>
      <c r="AE78" s="105"/>
      <c r="AF78" s="337"/>
      <c r="AG78" s="21" t="s">
        <v>130</v>
      </c>
    </row>
    <row r="79" spans="1:34" s="21" customFormat="1" ht="14.45" hidden="1" customHeight="1">
      <c r="A79" s="121"/>
      <c r="B79" s="3"/>
      <c r="C79" s="4"/>
      <c r="D79" s="5"/>
      <c r="E79" s="6"/>
      <c r="F79" s="7"/>
      <c r="G79" s="8"/>
      <c r="H79" s="9"/>
      <c r="I79" s="10"/>
      <c r="J79" s="11"/>
      <c r="K79" s="12"/>
      <c r="L79" s="13"/>
      <c r="M79" s="13"/>
      <c r="N79" s="14"/>
      <c r="O79" s="15"/>
      <c r="P79" s="15"/>
      <c r="Q79" s="16"/>
      <c r="R79" s="16"/>
      <c r="S79" s="16"/>
      <c r="T79" s="11"/>
      <c r="U79" s="213"/>
      <c r="V79" s="18"/>
      <c r="W79" s="19"/>
      <c r="X79" s="17"/>
      <c r="Y79" s="18"/>
      <c r="Z79" s="19"/>
      <c r="AA79" s="17"/>
      <c r="AB79" s="18"/>
      <c r="AC79" s="19"/>
      <c r="AD79" s="221"/>
      <c r="AE79" s="105"/>
      <c r="AF79" s="337"/>
    </row>
    <row r="80" spans="1:34" s="21" customFormat="1" ht="14.45" hidden="1" customHeight="1">
      <c r="A80" s="121" t="s">
        <v>135</v>
      </c>
      <c r="B80" s="3" t="s">
        <v>136</v>
      </c>
      <c r="C80" s="4">
        <v>115000000</v>
      </c>
      <c r="D80" s="119">
        <v>115000000</v>
      </c>
      <c r="E80" s="6">
        <v>1</v>
      </c>
      <c r="F80" s="7" t="s">
        <v>137</v>
      </c>
      <c r="G80" s="8" t="s">
        <v>13</v>
      </c>
      <c r="H80" s="9" t="s">
        <v>5</v>
      </c>
      <c r="I80" s="10">
        <v>1</v>
      </c>
      <c r="J80" s="11" t="s">
        <v>14</v>
      </c>
      <c r="K80" s="12" t="s">
        <v>6</v>
      </c>
      <c r="L80" s="13" t="s">
        <v>7</v>
      </c>
      <c r="M80" s="13"/>
      <c r="N80" s="14">
        <v>65000000</v>
      </c>
      <c r="O80" s="15">
        <v>1</v>
      </c>
      <c r="P80" s="15">
        <v>65000000</v>
      </c>
      <c r="Q80" s="16">
        <v>202502</v>
      </c>
      <c r="R80" s="16">
        <v>202503</v>
      </c>
      <c r="S80" s="16">
        <v>202504</v>
      </c>
      <c r="T80" s="11" t="s">
        <v>8</v>
      </c>
      <c r="U80" s="214">
        <v>202504</v>
      </c>
      <c r="V80" s="18" t="s">
        <v>7</v>
      </c>
      <c r="W80" s="19">
        <v>65000000</v>
      </c>
      <c r="X80" s="17"/>
      <c r="Y80" s="18"/>
      <c r="Z80" s="19"/>
      <c r="AA80" s="17"/>
      <c r="AB80" s="18"/>
      <c r="AC80" s="19"/>
      <c r="AD80" s="221">
        <f>R80</f>
        <v>202503</v>
      </c>
      <c r="AE80" s="105"/>
      <c r="AF80" s="337"/>
    </row>
    <row r="81" spans="1:33" s="21" customFormat="1" ht="14.45" hidden="1" customHeight="1">
      <c r="A81" s="1"/>
      <c r="B81" s="3"/>
      <c r="C81" s="4"/>
      <c r="D81" s="5"/>
      <c r="E81" s="6">
        <v>2</v>
      </c>
      <c r="F81" s="7" t="s">
        <v>138</v>
      </c>
      <c r="G81" s="8" t="s">
        <v>13</v>
      </c>
      <c r="H81" s="9" t="s">
        <v>5</v>
      </c>
      <c r="I81" s="10">
        <v>1</v>
      </c>
      <c r="J81" s="11" t="s">
        <v>14</v>
      </c>
      <c r="K81" s="12" t="s">
        <v>6</v>
      </c>
      <c r="L81" s="13" t="s">
        <v>7</v>
      </c>
      <c r="M81" s="13"/>
      <c r="N81" s="14">
        <v>50000000</v>
      </c>
      <c r="O81" s="15">
        <v>1</v>
      </c>
      <c r="P81" s="15">
        <v>50000000</v>
      </c>
      <c r="Q81" s="16">
        <v>202502</v>
      </c>
      <c r="R81" s="16">
        <v>202503</v>
      </c>
      <c r="S81" s="16">
        <v>202504</v>
      </c>
      <c r="T81" s="11" t="s">
        <v>8</v>
      </c>
      <c r="U81" s="214">
        <v>202504</v>
      </c>
      <c r="V81" s="18" t="s">
        <v>7</v>
      </c>
      <c r="W81" s="19">
        <v>50000000</v>
      </c>
      <c r="X81" s="17"/>
      <c r="Y81" s="18"/>
      <c r="Z81" s="19"/>
      <c r="AA81" s="17"/>
      <c r="AB81" s="18"/>
      <c r="AC81" s="19"/>
      <c r="AD81" s="221">
        <f>R81</f>
        <v>202503</v>
      </c>
      <c r="AE81" s="105"/>
      <c r="AF81" s="337"/>
    </row>
    <row r="82" spans="1:33" s="21" customFormat="1" ht="14.45" hidden="1" customHeight="1">
      <c r="A82" s="1"/>
      <c r="B82" s="3"/>
      <c r="C82" s="138"/>
      <c r="D82" s="5"/>
      <c r="E82" s="6"/>
      <c r="F82" s="7"/>
      <c r="G82" s="8"/>
      <c r="H82" s="9"/>
      <c r="I82" s="10"/>
      <c r="J82" s="11"/>
      <c r="K82" s="12"/>
      <c r="L82" s="13"/>
      <c r="M82" s="13"/>
      <c r="N82" s="14"/>
      <c r="O82" s="15"/>
      <c r="P82" s="15"/>
      <c r="Q82" s="16"/>
      <c r="R82" s="16"/>
      <c r="S82" s="16"/>
      <c r="T82" s="11"/>
      <c r="U82" s="213"/>
      <c r="V82" s="18"/>
      <c r="W82" s="19"/>
      <c r="X82" s="17"/>
      <c r="Y82" s="18"/>
      <c r="Z82" s="19"/>
      <c r="AA82" s="17"/>
      <c r="AB82" s="18"/>
      <c r="AC82" s="19"/>
      <c r="AD82" s="221"/>
      <c r="AE82" s="105"/>
      <c r="AF82" s="337"/>
    </row>
    <row r="83" spans="1:33" s="39" customFormat="1" ht="14.45" hidden="1" customHeight="1">
      <c r="A83" s="23"/>
      <c r="B83" s="26" t="s">
        <v>16</v>
      </c>
      <c r="C83" s="27">
        <v>6415000000</v>
      </c>
      <c r="D83" s="40">
        <v>6415000000</v>
      </c>
      <c r="E83" s="28"/>
      <c r="F83" s="29"/>
      <c r="G83" s="29"/>
      <c r="H83" s="30"/>
      <c r="I83" s="31"/>
      <c r="J83" s="31"/>
      <c r="K83" s="32"/>
      <c r="L83" s="33"/>
      <c r="M83" s="33"/>
      <c r="N83" s="34"/>
      <c r="O83" s="27"/>
      <c r="P83" s="27"/>
      <c r="Q83" s="35"/>
      <c r="R83" s="35"/>
      <c r="S83" s="35"/>
      <c r="T83" s="31"/>
      <c r="U83" s="215"/>
      <c r="V83" s="37"/>
      <c r="W83" s="38"/>
      <c r="X83" s="36"/>
      <c r="Y83" s="37"/>
      <c r="Z83" s="38"/>
      <c r="AA83" s="36"/>
      <c r="AB83" s="37"/>
      <c r="AC83" s="38"/>
      <c r="AD83" s="222"/>
      <c r="AE83" s="89"/>
      <c r="AF83" s="339"/>
    </row>
    <row r="84" spans="1:33" s="39" customFormat="1" ht="14.45" hidden="1" customHeight="1">
      <c r="A84" s="90"/>
      <c r="B84" s="91"/>
      <c r="C84" s="92"/>
      <c r="D84" s="106">
        <v>0</v>
      </c>
      <c r="E84" s="93"/>
      <c r="F84" s="94"/>
      <c r="G84" s="94"/>
      <c r="H84" s="95"/>
      <c r="I84" s="96"/>
      <c r="J84" s="96"/>
      <c r="K84" s="97"/>
      <c r="L84" s="98"/>
      <c r="M84" s="98"/>
      <c r="N84" s="99"/>
      <c r="O84" s="92"/>
      <c r="P84" s="92"/>
      <c r="Q84" s="100"/>
      <c r="R84" s="100"/>
      <c r="S84" s="100"/>
      <c r="T84" s="96"/>
      <c r="U84" s="216"/>
      <c r="V84" s="102"/>
      <c r="W84" s="103"/>
      <c r="X84" s="101"/>
      <c r="Y84" s="102"/>
      <c r="Z84" s="103"/>
      <c r="AA84" s="101"/>
      <c r="AB84" s="102"/>
      <c r="AC84" s="103"/>
      <c r="AD84" s="223"/>
      <c r="AE84" s="104"/>
      <c r="AF84" s="339"/>
    </row>
    <row r="85" spans="1:33" s="21" customFormat="1" ht="14.45" hidden="1" customHeight="1">
      <c r="A85" s="121"/>
      <c r="B85" s="127"/>
      <c r="C85" s="120"/>
      <c r="D85" s="128"/>
      <c r="E85" s="129"/>
      <c r="F85" s="7"/>
      <c r="G85" s="8"/>
      <c r="H85" s="9"/>
      <c r="I85" s="10"/>
      <c r="J85" s="11"/>
      <c r="K85" s="12"/>
      <c r="L85" s="13"/>
      <c r="M85" s="13"/>
      <c r="N85" s="14"/>
      <c r="O85" s="22">
        <f>IF(ISBLANK(L85),0,IF(L85="IDR",1,IF(L85="YEN",#REF!,IF(L85="USD",#REF!))))</f>
        <v>0</v>
      </c>
      <c r="P85" s="22" t="str">
        <f t="shared" ref="P85" si="3">IF(ISBLANK(N85),"",N85*O85)</f>
        <v/>
      </c>
      <c r="Q85" s="16"/>
      <c r="R85" s="16"/>
      <c r="S85" s="16"/>
      <c r="T85" s="10"/>
      <c r="U85" s="218" t="str">
        <f>IF(ISBLANK(Q85),"",IF(LEFT(T85,2)="一括",IF(T85="一括(検収時)",S85,R85),Q85))</f>
        <v/>
      </c>
      <c r="V85" s="79" t="str">
        <f>IF(ISBLANK(T85),"",L85)</f>
        <v/>
      </c>
      <c r="W85" s="80" t="str">
        <f>IF(ISBLANK(T85),"",IF(LEFT(T85,2)="一括",N85,IF(T85="DP2(30/70%)",N85*0.3,IF(T85="DP3(30/40/30%)",N85*0.3))))</f>
        <v/>
      </c>
      <c r="X85" s="78" t="str">
        <f>IF(LEFT(T85,2)="一括","",IF(T85="DP2(30/70%)",S85,IF(T85="DP3(30/40/30%)",R85,"")))</f>
        <v/>
      </c>
      <c r="Y85" s="79" t="str">
        <f>IF(LEFT(T85,2)="一括","",V85)</f>
        <v/>
      </c>
      <c r="Z85" s="80" t="str">
        <f>IF(ISBLANK(T85),"",IF(LEFT(T85,2)="一括","",IF(T85="DP2(30/70%)",0.7*N85,0.4*N85)))</f>
        <v/>
      </c>
      <c r="AA85" s="78" t="str">
        <f>IF(LEFT(T85,2)="一括","",IF(T85="DP2(30/70%)","",IF(T85="DP3(30/40/30%)",S85,"")))</f>
        <v/>
      </c>
      <c r="AB85" s="79" t="str">
        <f>IF(T85="DP3(30/40/30%)",L85,"")</f>
        <v/>
      </c>
      <c r="AC85" s="80" t="str">
        <f>IF(ISBLANK(T85),"",IF(T85="DP3(30/40/30%)",0.3*N85,""))</f>
        <v/>
      </c>
      <c r="AD85" s="221"/>
      <c r="AE85" s="16"/>
      <c r="AF85" s="337"/>
      <c r="AG85" s="271"/>
    </row>
    <row r="86" spans="1:33" s="25" customFormat="1" ht="14.45" hidden="1" customHeight="1">
      <c r="A86" s="209"/>
      <c r="B86" s="212" t="s">
        <v>18</v>
      </c>
      <c r="C86" s="203">
        <f>SUM(C11:C82)</f>
        <v>6415000000</v>
      </c>
      <c r="D86" s="203">
        <f>SUM(D11:D82)</f>
        <v>6415000000</v>
      </c>
      <c r="E86" s="272"/>
      <c r="F86" s="71"/>
      <c r="G86" s="72"/>
      <c r="H86" s="72"/>
      <c r="I86" s="73"/>
      <c r="J86" s="273"/>
      <c r="K86" s="274"/>
      <c r="L86" s="275"/>
      <c r="M86" s="275"/>
      <c r="N86" s="71"/>
      <c r="O86" s="71"/>
      <c r="P86" s="71">
        <f>SUM(P11:P78)</f>
        <v>6300000000</v>
      </c>
      <c r="Q86" s="275"/>
      <c r="R86" s="275"/>
      <c r="S86" s="275"/>
      <c r="T86" s="73"/>
      <c r="U86" s="217"/>
      <c r="V86" s="71"/>
      <c r="W86" s="71"/>
      <c r="X86" s="74"/>
      <c r="Y86" s="74"/>
      <c r="Z86" s="74"/>
      <c r="AA86" s="74"/>
      <c r="AB86" s="74"/>
      <c r="AC86" s="74"/>
      <c r="AD86" s="73"/>
      <c r="AE86" s="75"/>
      <c r="AF86" s="340"/>
      <c r="AG86" s="276"/>
    </row>
    <row r="87" spans="1:33" s="21" customFormat="1" ht="14.45" hidden="1" customHeight="1">
      <c r="A87" s="227" t="s">
        <v>19</v>
      </c>
      <c r="B87" s="228"/>
      <c r="C87" s="229"/>
      <c r="D87" s="230"/>
      <c r="E87" s="277"/>
      <c r="F87" s="231"/>
      <c r="G87" s="162"/>
      <c r="H87" s="161"/>
      <c r="I87" s="186"/>
      <c r="J87" s="185"/>
      <c r="K87" s="191"/>
      <c r="L87" s="206"/>
      <c r="M87" s="206"/>
      <c r="N87" s="184"/>
      <c r="O87" s="241"/>
      <c r="P87" s="241"/>
      <c r="Q87" s="183"/>
      <c r="R87" s="183"/>
      <c r="S87" s="183"/>
      <c r="T87" s="186"/>
      <c r="U87" s="234"/>
      <c r="V87" s="233"/>
      <c r="W87" s="235"/>
      <c r="X87" s="278"/>
      <c r="Y87" s="233"/>
      <c r="Z87" s="235"/>
      <c r="AA87" s="278"/>
      <c r="AB87" s="233"/>
      <c r="AC87" s="235"/>
      <c r="AD87" s="225"/>
      <c r="AE87" s="182"/>
      <c r="AF87" s="337"/>
    </row>
    <row r="88" spans="1:33" s="21" customFormat="1" ht="14.45" hidden="1" customHeight="1">
      <c r="A88" s="197" t="s">
        <v>139</v>
      </c>
      <c r="B88" s="205" t="s">
        <v>140</v>
      </c>
      <c r="C88" s="120">
        <f>SUM(P88:P89)</f>
        <v>72000000</v>
      </c>
      <c r="D88" s="201"/>
      <c r="E88" s="148">
        <v>1</v>
      </c>
      <c r="F88" s="7" t="s">
        <v>141</v>
      </c>
      <c r="G88" s="8" t="s">
        <v>13</v>
      </c>
      <c r="H88" s="9" t="s">
        <v>5</v>
      </c>
      <c r="I88" s="10">
        <v>1</v>
      </c>
      <c r="J88" s="11" t="s">
        <v>14</v>
      </c>
      <c r="K88" s="12" t="s">
        <v>6</v>
      </c>
      <c r="L88" s="13" t="s">
        <v>7</v>
      </c>
      <c r="M88" s="316"/>
      <c r="N88" s="80">
        <v>38000000</v>
      </c>
      <c r="O88" s="22">
        <v>1</v>
      </c>
      <c r="P88" s="22">
        <f>IF(ISBLANK(N88),"",N88*O88)</f>
        <v>38000000</v>
      </c>
      <c r="Q88" s="16">
        <v>202504</v>
      </c>
      <c r="R88" s="16">
        <v>202505</v>
      </c>
      <c r="S88" s="16">
        <v>202506</v>
      </c>
      <c r="T88" s="10" t="s">
        <v>8</v>
      </c>
      <c r="U88" s="219">
        <f>IF(ISBLANK(Q88),"",IF(LEFT(T88,2)="一括",IF(T88="一括(検収時)",S88,R88),Q88))</f>
        <v>202506</v>
      </c>
      <c r="V88" s="79" t="str">
        <f>IF(ISBLANK(T88),"",L88)</f>
        <v>IDR</v>
      </c>
      <c r="W88" s="80">
        <f>P88</f>
        <v>38000000</v>
      </c>
      <c r="X88" s="78"/>
      <c r="Y88" s="79"/>
      <c r="Z88" s="80"/>
      <c r="AA88" s="78"/>
      <c r="AB88" s="79"/>
      <c r="AC88" s="80"/>
      <c r="AD88" s="221">
        <f>R88+1</f>
        <v>202506</v>
      </c>
      <c r="AE88" s="105"/>
      <c r="AF88" s="337"/>
    </row>
    <row r="89" spans="1:33" s="21" customFormat="1" ht="14.45" hidden="1" customHeight="1">
      <c r="A89" s="197"/>
      <c r="B89" s="205"/>
      <c r="C89" s="120"/>
      <c r="D89" s="210"/>
      <c r="E89" s="148">
        <v>2</v>
      </c>
      <c r="F89" s="7" t="s">
        <v>142</v>
      </c>
      <c r="G89" s="8" t="s">
        <v>13</v>
      </c>
      <c r="H89" s="9" t="s">
        <v>5</v>
      </c>
      <c r="I89" s="10">
        <v>1</v>
      </c>
      <c r="J89" s="11" t="s">
        <v>14</v>
      </c>
      <c r="K89" s="12" t="s">
        <v>6</v>
      </c>
      <c r="L89" s="13" t="s">
        <v>7</v>
      </c>
      <c r="M89" s="316"/>
      <c r="N89" s="80">
        <v>34000000</v>
      </c>
      <c r="O89" s="22">
        <v>1</v>
      </c>
      <c r="P89" s="22">
        <f>IF(ISBLANK(N89),"",N89*O89)</f>
        <v>34000000</v>
      </c>
      <c r="Q89" s="16">
        <v>202505</v>
      </c>
      <c r="R89" s="16">
        <v>202506</v>
      </c>
      <c r="S89" s="16">
        <v>202507</v>
      </c>
      <c r="T89" s="10" t="s">
        <v>8</v>
      </c>
      <c r="U89" s="219">
        <f>IF(ISBLANK(Q89),"",IF(LEFT(T89,2)="一括",IF(T89="一括(検収時)",S89,R89),Q89))</f>
        <v>202507</v>
      </c>
      <c r="V89" s="79" t="str">
        <f>IF(ISBLANK(T89),"",L89)</f>
        <v>IDR</v>
      </c>
      <c r="W89" s="80">
        <f>P89</f>
        <v>34000000</v>
      </c>
      <c r="X89" s="78"/>
      <c r="Y89" s="79"/>
      <c r="Z89" s="80"/>
      <c r="AA89" s="78"/>
      <c r="AB89" s="79"/>
      <c r="AC89" s="80"/>
      <c r="AD89" s="221">
        <f>R89</f>
        <v>202506</v>
      </c>
      <c r="AE89" s="105"/>
      <c r="AF89" s="337"/>
    </row>
    <row r="90" spans="1:33" s="21" customFormat="1" ht="14.45" hidden="1" customHeight="1">
      <c r="A90" s="197"/>
      <c r="B90" s="205"/>
      <c r="C90" s="120"/>
      <c r="D90" s="210"/>
      <c r="E90" s="148"/>
      <c r="F90" s="7"/>
      <c r="G90" s="8"/>
      <c r="H90" s="9"/>
      <c r="I90" s="10"/>
      <c r="J90" s="11"/>
      <c r="K90" s="12"/>
      <c r="L90" s="13"/>
      <c r="M90" s="316"/>
      <c r="N90" s="125"/>
      <c r="O90" s="22"/>
      <c r="P90" s="80"/>
      <c r="Q90" s="16"/>
      <c r="R90" s="16"/>
      <c r="S90" s="16"/>
      <c r="T90" s="10"/>
      <c r="U90" s="218"/>
      <c r="V90" s="79"/>
      <c r="W90" s="80"/>
      <c r="X90" s="78"/>
      <c r="Y90" s="79"/>
      <c r="Z90" s="80"/>
      <c r="AA90" s="78"/>
      <c r="AB90" s="79"/>
      <c r="AC90" s="80"/>
      <c r="AD90" s="221"/>
      <c r="AE90" s="105"/>
      <c r="AF90" s="337"/>
    </row>
    <row r="91" spans="1:33" s="21" customFormat="1" ht="14.45" hidden="1" customHeight="1">
      <c r="A91" s="197" t="s">
        <v>143</v>
      </c>
      <c r="B91" s="205" t="s">
        <v>144</v>
      </c>
      <c r="C91" s="120">
        <f>SUM(P91:P102)</f>
        <v>768000000</v>
      </c>
      <c r="D91" s="201"/>
      <c r="E91" s="148">
        <v>1</v>
      </c>
      <c r="F91" s="7" t="s">
        <v>145</v>
      </c>
      <c r="G91" s="8" t="s">
        <v>13</v>
      </c>
      <c r="H91" s="9" t="s">
        <v>5</v>
      </c>
      <c r="I91" s="10">
        <v>3</v>
      </c>
      <c r="J91" s="11" t="s">
        <v>14</v>
      </c>
      <c r="K91" s="12" t="s">
        <v>6</v>
      </c>
      <c r="L91" s="13" t="s">
        <v>7</v>
      </c>
      <c r="M91" s="316"/>
      <c r="N91" s="80">
        <v>58500000</v>
      </c>
      <c r="O91" s="22">
        <v>1</v>
      </c>
      <c r="P91" s="22">
        <f>IF(ISBLANK(N91),"",N91*O91)</f>
        <v>58500000</v>
      </c>
      <c r="Q91" s="16">
        <v>202504</v>
      </c>
      <c r="R91" s="16">
        <v>202505</v>
      </c>
      <c r="S91" s="16">
        <v>202506</v>
      </c>
      <c r="T91" s="10" t="s">
        <v>8</v>
      </c>
      <c r="U91" s="218">
        <f t="shared" ref="U91:U102" si="4">IF(ISBLANK(Q91),"",IF(LEFT(T91,2)="一括",IF(T91="一括(検収時)",S91,R91),Q91))</f>
        <v>202506</v>
      </c>
      <c r="V91" s="79" t="str">
        <f t="shared" ref="V91:V102" si="5">IF(ISBLANK(T91),"",L91)</f>
        <v>IDR</v>
      </c>
      <c r="W91" s="80">
        <f t="shared" ref="W91:W102" si="6">P91</f>
        <v>58500000</v>
      </c>
      <c r="X91" s="78" t="str">
        <f>IF(LEFT(T91,2)="一括","",IF(T91="DP2(30/70%)",S91,IF(T91="DP3(30/40/30%)",R91,"")))</f>
        <v/>
      </c>
      <c r="Y91" s="79" t="str">
        <f>IF(LEFT(T91,2)="一括","",V91)</f>
        <v/>
      </c>
      <c r="Z91" s="80" t="str">
        <f>IF(ISBLANK(T91),"",IF(LEFT(T91,2)="一括","",IF(T91="DP2(30/70%)",0.7*N91,0.4*N91)))</f>
        <v/>
      </c>
      <c r="AA91" s="78" t="str">
        <f>IF(LEFT(T91,2)="一括","",IF(T91="DP2(30/70%)","",IF(T91="DP3(30/40/30%)",S91,"")))</f>
        <v/>
      </c>
      <c r="AB91" s="79" t="str">
        <f>IF(T91="DP3(30/40/30%)",L91,"")</f>
        <v/>
      </c>
      <c r="AC91" s="80" t="str">
        <f>IF(ISBLANK(T91),"",IF(T91="DP3(30/40/30%)",0.3*N91,""))</f>
        <v/>
      </c>
      <c r="AD91" s="221">
        <f t="shared" ref="AD91:AD102" si="7">R91</f>
        <v>202505</v>
      </c>
      <c r="AE91" s="105"/>
      <c r="AF91" s="337"/>
    </row>
    <row r="92" spans="1:33" s="21" customFormat="1" ht="14.45" hidden="1" customHeight="1">
      <c r="A92" s="197"/>
      <c r="B92" s="205"/>
      <c r="C92" s="120"/>
      <c r="D92" s="210"/>
      <c r="E92" s="148">
        <v>2</v>
      </c>
      <c r="F92" s="7" t="s">
        <v>146</v>
      </c>
      <c r="G92" s="8" t="s">
        <v>13</v>
      </c>
      <c r="H92" s="9" t="s">
        <v>5</v>
      </c>
      <c r="I92" s="10">
        <v>3</v>
      </c>
      <c r="J92" s="11" t="s">
        <v>14</v>
      </c>
      <c r="K92" s="12" t="s">
        <v>6</v>
      </c>
      <c r="L92" s="13" t="s">
        <v>7</v>
      </c>
      <c r="M92" s="316"/>
      <c r="N92" s="80">
        <v>58500000</v>
      </c>
      <c r="O92" s="22">
        <v>1</v>
      </c>
      <c r="P92" s="22">
        <f t="shared" ref="P92:P155" si="8">IF(ISBLANK(N92),"",N92*O92)</f>
        <v>58500000</v>
      </c>
      <c r="Q92" s="16">
        <v>202505</v>
      </c>
      <c r="R92" s="16">
        <v>202506</v>
      </c>
      <c r="S92" s="16">
        <v>202507</v>
      </c>
      <c r="T92" s="10" t="s">
        <v>8</v>
      </c>
      <c r="U92" s="218">
        <f t="shared" si="4"/>
        <v>202507</v>
      </c>
      <c r="V92" s="79" t="str">
        <f t="shared" si="5"/>
        <v>IDR</v>
      </c>
      <c r="W92" s="80">
        <f t="shared" si="6"/>
        <v>58500000</v>
      </c>
      <c r="X92" s="78" t="str">
        <f>IF(LEFT(T92,2)="一括","",IF(T92="DP2(30/70%)",S92,IF(T92="DP3(30/40/30%)",R92,"")))</f>
        <v/>
      </c>
      <c r="Y92" s="79" t="str">
        <f>IF(LEFT(T92,2)="一括","",V92)</f>
        <v/>
      </c>
      <c r="Z92" s="80" t="str">
        <f>IF(ISBLANK(T92),"",IF(LEFT(T92,2)="一括","",IF(T92="DP2(30/70%)",0.7*N92,0.4*N92)))</f>
        <v/>
      </c>
      <c r="AA92" s="78" t="str">
        <f>IF(LEFT(T92,2)="一括","",IF(T92="DP2(30/70%)","",IF(T92="DP3(30/40/30%)",S92,"")))</f>
        <v/>
      </c>
      <c r="AB92" s="79" t="str">
        <f>IF(T92="DP3(30/40/30%)",L92,"")</f>
        <v/>
      </c>
      <c r="AC92" s="80" t="str">
        <f>IF(ISBLANK(T92),"",IF(T92="DP3(30/40/30%)",0.3*N92,""))</f>
        <v/>
      </c>
      <c r="AD92" s="221">
        <f t="shared" si="7"/>
        <v>202506</v>
      </c>
      <c r="AE92" s="105"/>
      <c r="AF92" s="337"/>
    </row>
    <row r="93" spans="1:33" s="21" customFormat="1" ht="14.45" hidden="1" customHeight="1">
      <c r="A93" s="197"/>
      <c r="B93" s="205"/>
      <c r="C93" s="120"/>
      <c r="D93" s="210"/>
      <c r="E93" s="148">
        <v>3</v>
      </c>
      <c r="F93" s="7" t="s">
        <v>147</v>
      </c>
      <c r="G93" s="8" t="s">
        <v>13</v>
      </c>
      <c r="H93" s="9" t="s">
        <v>5</v>
      </c>
      <c r="I93" s="10">
        <v>3</v>
      </c>
      <c r="J93" s="11" t="s">
        <v>14</v>
      </c>
      <c r="K93" s="12" t="s">
        <v>6</v>
      </c>
      <c r="L93" s="13" t="s">
        <v>7</v>
      </c>
      <c r="M93" s="316"/>
      <c r="N93" s="80">
        <v>165000000</v>
      </c>
      <c r="O93" s="22">
        <v>1</v>
      </c>
      <c r="P93" s="22">
        <v>178500000</v>
      </c>
      <c r="Q93" s="16">
        <v>202506</v>
      </c>
      <c r="R93" s="16">
        <v>202507</v>
      </c>
      <c r="S93" s="16">
        <v>202508</v>
      </c>
      <c r="T93" s="10" t="s">
        <v>8</v>
      </c>
      <c r="U93" s="218">
        <f t="shared" si="4"/>
        <v>202508</v>
      </c>
      <c r="V93" s="79" t="str">
        <f t="shared" si="5"/>
        <v>IDR</v>
      </c>
      <c r="W93" s="80">
        <f t="shared" si="6"/>
        <v>178500000</v>
      </c>
      <c r="X93" s="78" t="str">
        <f>IF(LEFT(T93,2)="一括","",IF(T93="DP2(30/70%)",S93,IF(T93="DP3(30/40/30%)",R93,"")))</f>
        <v/>
      </c>
      <c r="Y93" s="79" t="str">
        <f>IF(LEFT(T93,2)="一括","",V93)</f>
        <v/>
      </c>
      <c r="Z93" s="80" t="str">
        <f>IF(ISBLANK(T93),"",IF(LEFT(T93,2)="一括","",IF(T93="DP2(30/70%)",0.7*N93,0.4*N93)))</f>
        <v/>
      </c>
      <c r="AA93" s="78" t="str">
        <f>IF(LEFT(T93,2)="一括","",IF(T93="DP2(30/70%)","",IF(T93="DP3(30/40/30%)",S93,"")))</f>
        <v/>
      </c>
      <c r="AB93" s="79" t="str">
        <f>IF(T93="DP3(30/40/30%)",L93,"")</f>
        <v/>
      </c>
      <c r="AC93" s="80" t="str">
        <f>IF(ISBLANK(T93),"",IF(T93="DP3(30/40/30%)",0.3*N93,""))</f>
        <v/>
      </c>
      <c r="AD93" s="221">
        <f t="shared" si="7"/>
        <v>202507</v>
      </c>
      <c r="AE93" s="105"/>
      <c r="AF93" s="337"/>
    </row>
    <row r="94" spans="1:33" s="21" customFormat="1" ht="14.45" hidden="1" customHeight="1">
      <c r="A94" s="197"/>
      <c r="B94" s="205"/>
      <c r="C94" s="120"/>
      <c r="D94" s="210"/>
      <c r="E94" s="148">
        <v>4</v>
      </c>
      <c r="F94" s="7" t="s">
        <v>148</v>
      </c>
      <c r="G94" s="8" t="s">
        <v>13</v>
      </c>
      <c r="H94" s="9" t="s">
        <v>5</v>
      </c>
      <c r="I94" s="10">
        <v>3</v>
      </c>
      <c r="J94" s="11" t="s">
        <v>14</v>
      </c>
      <c r="K94" s="12" t="s">
        <v>6</v>
      </c>
      <c r="L94" s="13" t="s">
        <v>7</v>
      </c>
      <c r="M94" s="316"/>
      <c r="N94" s="80">
        <v>53500000</v>
      </c>
      <c r="O94" s="22">
        <v>1</v>
      </c>
      <c r="P94" s="22">
        <v>52500000</v>
      </c>
      <c r="Q94" s="16">
        <v>202507</v>
      </c>
      <c r="R94" s="16">
        <v>202508</v>
      </c>
      <c r="S94" s="16">
        <v>202509</v>
      </c>
      <c r="T94" s="10" t="s">
        <v>8</v>
      </c>
      <c r="U94" s="218">
        <f t="shared" si="4"/>
        <v>202509</v>
      </c>
      <c r="V94" s="79" t="str">
        <f t="shared" si="5"/>
        <v>IDR</v>
      </c>
      <c r="W94" s="80">
        <f t="shared" si="6"/>
        <v>52500000</v>
      </c>
      <c r="X94" s="78" t="str">
        <f>IF(LEFT(T94,2)="一括","",IF(T94="DP2(30/70%)",S94,IF(T94="DP3(30/40/30%)",R94,"")))</f>
        <v/>
      </c>
      <c r="Y94" s="79" t="str">
        <f>IF(LEFT(T94,2)="一括","",V94)</f>
        <v/>
      </c>
      <c r="Z94" s="80" t="str">
        <f>IF(ISBLANK(T94),"",IF(LEFT(T94,2)="一括","",IF(T94="DP2(30/70%)",0.7*N94,0.4*N94)))</f>
        <v/>
      </c>
      <c r="AA94" s="78" t="str">
        <f>IF(LEFT(T94,2)="一括","",IF(T94="DP2(30/70%)","",IF(T94="DP3(30/40/30%)",S94,"")))</f>
        <v/>
      </c>
      <c r="AB94" s="79" t="str">
        <f>IF(T94="DP3(30/40/30%)",L94,"")</f>
        <v/>
      </c>
      <c r="AC94" s="80" t="str">
        <f>IF(ISBLANK(T94),"",IF(T94="DP3(30/40/30%)",0.3*N94,""))</f>
        <v/>
      </c>
      <c r="AD94" s="221">
        <f t="shared" si="7"/>
        <v>202508</v>
      </c>
      <c r="AE94" s="105"/>
      <c r="AF94" s="337"/>
    </row>
    <row r="95" spans="1:33" s="21" customFormat="1" ht="14.45" hidden="1" customHeight="1">
      <c r="A95" s="197"/>
      <c r="B95" s="205"/>
      <c r="C95" s="120"/>
      <c r="D95" s="210"/>
      <c r="E95" s="148">
        <v>5</v>
      </c>
      <c r="F95" s="7" t="s">
        <v>149</v>
      </c>
      <c r="G95" s="8" t="s">
        <v>13</v>
      </c>
      <c r="H95" s="9" t="s">
        <v>5</v>
      </c>
      <c r="I95" s="10">
        <v>3</v>
      </c>
      <c r="J95" s="11" t="s">
        <v>14</v>
      </c>
      <c r="K95" s="12" t="s">
        <v>6</v>
      </c>
      <c r="L95" s="13" t="s">
        <v>7</v>
      </c>
      <c r="M95" s="316"/>
      <c r="N95" s="80">
        <v>53500000</v>
      </c>
      <c r="O95" s="22">
        <v>1</v>
      </c>
      <c r="P95" s="22">
        <v>52500000</v>
      </c>
      <c r="Q95" s="16">
        <v>202508</v>
      </c>
      <c r="R95" s="16">
        <v>202509</v>
      </c>
      <c r="S95" s="16">
        <v>202510</v>
      </c>
      <c r="T95" s="10" t="s">
        <v>8</v>
      </c>
      <c r="U95" s="218">
        <f t="shared" si="4"/>
        <v>202510</v>
      </c>
      <c r="V95" s="79" t="str">
        <f t="shared" si="5"/>
        <v>IDR</v>
      </c>
      <c r="W95" s="80">
        <f t="shared" si="6"/>
        <v>52500000</v>
      </c>
      <c r="X95" s="78"/>
      <c r="Y95" s="79"/>
      <c r="Z95" s="80"/>
      <c r="AA95" s="78"/>
      <c r="AB95" s="79"/>
      <c r="AC95" s="80"/>
      <c r="AD95" s="221">
        <f t="shared" si="7"/>
        <v>202509</v>
      </c>
      <c r="AE95" s="105"/>
      <c r="AF95" s="337"/>
    </row>
    <row r="96" spans="1:33" s="21" customFormat="1" ht="14.45" hidden="1" customHeight="1">
      <c r="A96" s="197"/>
      <c r="B96" s="205"/>
      <c r="C96" s="120"/>
      <c r="D96" s="210"/>
      <c r="E96" s="148">
        <v>6</v>
      </c>
      <c r="F96" s="7" t="s">
        <v>150</v>
      </c>
      <c r="G96" s="8" t="s">
        <v>13</v>
      </c>
      <c r="H96" s="9" t="s">
        <v>5</v>
      </c>
      <c r="I96" s="10">
        <v>3</v>
      </c>
      <c r="J96" s="11" t="s">
        <v>14</v>
      </c>
      <c r="K96" s="12" t="s">
        <v>6</v>
      </c>
      <c r="L96" s="13" t="s">
        <v>7</v>
      </c>
      <c r="M96" s="316"/>
      <c r="N96" s="80">
        <v>53500000</v>
      </c>
      <c r="O96" s="22">
        <v>1</v>
      </c>
      <c r="P96" s="22">
        <v>52500000</v>
      </c>
      <c r="Q96" s="16">
        <v>202509</v>
      </c>
      <c r="R96" s="16">
        <v>202510</v>
      </c>
      <c r="S96" s="16">
        <v>202511</v>
      </c>
      <c r="T96" s="10" t="s">
        <v>8</v>
      </c>
      <c r="U96" s="218">
        <f t="shared" si="4"/>
        <v>202511</v>
      </c>
      <c r="V96" s="79" t="str">
        <f t="shared" si="5"/>
        <v>IDR</v>
      </c>
      <c r="W96" s="80">
        <f t="shared" si="6"/>
        <v>52500000</v>
      </c>
      <c r="X96" s="78"/>
      <c r="Y96" s="79"/>
      <c r="Z96" s="80"/>
      <c r="AA96" s="78"/>
      <c r="AB96" s="79"/>
      <c r="AC96" s="80"/>
      <c r="AD96" s="221">
        <f t="shared" si="7"/>
        <v>202510</v>
      </c>
      <c r="AE96" s="105"/>
      <c r="AF96" s="337"/>
    </row>
    <row r="97" spans="1:33" s="21" customFormat="1" ht="14.45" hidden="1" customHeight="1">
      <c r="A97" s="197"/>
      <c r="B97" s="205"/>
      <c r="C97" s="120"/>
      <c r="D97" s="210"/>
      <c r="E97" s="148">
        <v>7</v>
      </c>
      <c r="F97" s="7" t="s">
        <v>151</v>
      </c>
      <c r="G97" s="8" t="s">
        <v>13</v>
      </c>
      <c r="H97" s="9" t="s">
        <v>5</v>
      </c>
      <c r="I97" s="10">
        <v>3</v>
      </c>
      <c r="J97" s="11" t="s">
        <v>14</v>
      </c>
      <c r="K97" s="12" t="s">
        <v>6</v>
      </c>
      <c r="L97" s="13" t="s">
        <v>7</v>
      </c>
      <c r="M97" s="316"/>
      <c r="N97" s="80">
        <v>53500000</v>
      </c>
      <c r="O97" s="22">
        <v>1</v>
      </c>
      <c r="P97" s="22">
        <v>52500000</v>
      </c>
      <c r="Q97" s="16">
        <v>202510</v>
      </c>
      <c r="R97" s="16">
        <v>202511</v>
      </c>
      <c r="S97" s="16">
        <v>202512</v>
      </c>
      <c r="T97" s="10" t="s">
        <v>8</v>
      </c>
      <c r="U97" s="218">
        <f t="shared" si="4"/>
        <v>202512</v>
      </c>
      <c r="V97" s="79" t="str">
        <f t="shared" si="5"/>
        <v>IDR</v>
      </c>
      <c r="W97" s="80">
        <f t="shared" si="6"/>
        <v>52500000</v>
      </c>
      <c r="X97" s="78"/>
      <c r="Y97" s="79"/>
      <c r="Z97" s="80"/>
      <c r="AA97" s="78"/>
      <c r="AB97" s="79"/>
      <c r="AC97" s="80"/>
      <c r="AD97" s="221">
        <f t="shared" si="7"/>
        <v>202511</v>
      </c>
      <c r="AE97" s="105"/>
      <c r="AF97" s="337"/>
    </row>
    <row r="98" spans="1:33" s="21" customFormat="1" ht="14.45" hidden="1" customHeight="1">
      <c r="A98" s="197"/>
      <c r="B98" s="205"/>
      <c r="C98" s="120"/>
      <c r="D98" s="210"/>
      <c r="E98" s="148">
        <v>8</v>
      </c>
      <c r="F98" s="7" t="s">
        <v>152</v>
      </c>
      <c r="G98" s="8" t="s">
        <v>13</v>
      </c>
      <c r="H98" s="9" t="s">
        <v>5</v>
      </c>
      <c r="I98" s="10">
        <v>3</v>
      </c>
      <c r="J98" s="11" t="s">
        <v>14</v>
      </c>
      <c r="K98" s="12" t="s">
        <v>6</v>
      </c>
      <c r="L98" s="13" t="s">
        <v>7</v>
      </c>
      <c r="M98" s="316"/>
      <c r="N98" s="80">
        <v>53500000</v>
      </c>
      <c r="O98" s="22">
        <v>1</v>
      </c>
      <c r="P98" s="22">
        <v>52500000</v>
      </c>
      <c r="Q98" s="16">
        <v>202511</v>
      </c>
      <c r="R98" s="16">
        <v>202512</v>
      </c>
      <c r="S98" s="16">
        <v>202601</v>
      </c>
      <c r="T98" s="10" t="s">
        <v>8</v>
      </c>
      <c r="U98" s="218">
        <f t="shared" si="4"/>
        <v>202601</v>
      </c>
      <c r="V98" s="79" t="str">
        <f t="shared" si="5"/>
        <v>IDR</v>
      </c>
      <c r="W98" s="80">
        <f t="shared" si="6"/>
        <v>52500000</v>
      </c>
      <c r="X98" s="78" t="str">
        <f>IF(LEFT(T98,2)="一括","",IF(T98="DP2(30/70%)",S98,IF(T98="DP3(30/40/30%)",R98,"")))</f>
        <v/>
      </c>
      <c r="Y98" s="79" t="str">
        <f>IF(LEFT(T98,2)="一括","",V98)</f>
        <v/>
      </c>
      <c r="Z98" s="80" t="str">
        <f>IF(ISBLANK(T98),"",IF(LEFT(T98,2)="一括","",IF(T98="DP2(30/70%)",0.7*N98,0.4*N98)))</f>
        <v/>
      </c>
      <c r="AA98" s="78" t="str">
        <f>IF(LEFT(T98,2)="一括","",IF(T98="DP2(30/70%)","",IF(T98="DP3(30/40/30%)",S98,"")))</f>
        <v/>
      </c>
      <c r="AB98" s="79" t="str">
        <f>IF(T98="DP3(30/40/30%)",L98,"")</f>
        <v/>
      </c>
      <c r="AC98" s="80" t="str">
        <f>IF(ISBLANK(T98),"",IF(T98="DP3(30/40/30%)",0.3*N98,""))</f>
        <v/>
      </c>
      <c r="AD98" s="221">
        <f t="shared" si="7"/>
        <v>202512</v>
      </c>
      <c r="AE98" s="105"/>
      <c r="AF98" s="337"/>
    </row>
    <row r="99" spans="1:33" s="21" customFormat="1" ht="14.45" hidden="1" customHeight="1">
      <c r="A99" s="197"/>
      <c r="B99" s="205"/>
      <c r="C99" s="120"/>
      <c r="D99" s="210"/>
      <c r="E99" s="148">
        <v>9</v>
      </c>
      <c r="F99" s="7" t="s">
        <v>153</v>
      </c>
      <c r="G99" s="8" t="s">
        <v>13</v>
      </c>
      <c r="H99" s="9" t="s">
        <v>5</v>
      </c>
      <c r="I99" s="10">
        <v>3</v>
      </c>
      <c r="J99" s="11" t="s">
        <v>14</v>
      </c>
      <c r="K99" s="12" t="s">
        <v>6</v>
      </c>
      <c r="L99" s="13" t="s">
        <v>7</v>
      </c>
      <c r="M99" s="316"/>
      <c r="N99" s="80">
        <v>53500000</v>
      </c>
      <c r="O99" s="22">
        <v>1</v>
      </c>
      <c r="P99" s="22">
        <v>52500000</v>
      </c>
      <c r="Q99" s="16">
        <v>202512</v>
      </c>
      <c r="R99" s="16">
        <v>202601</v>
      </c>
      <c r="S99" s="16">
        <v>202602</v>
      </c>
      <c r="T99" s="10" t="s">
        <v>8</v>
      </c>
      <c r="U99" s="218">
        <f t="shared" si="4"/>
        <v>202602</v>
      </c>
      <c r="V99" s="79" t="str">
        <f t="shared" si="5"/>
        <v>IDR</v>
      </c>
      <c r="W99" s="80">
        <f t="shared" si="6"/>
        <v>52500000</v>
      </c>
      <c r="X99" s="78" t="str">
        <f>IF(LEFT(T99,2)="一括","",IF(T99="DP2(30/70%)",S99,IF(T99="DP3(30/40/30%)",R99,"")))</f>
        <v/>
      </c>
      <c r="Y99" s="79" t="str">
        <f>IF(LEFT(T99,2)="一括","",V99)</f>
        <v/>
      </c>
      <c r="Z99" s="80" t="str">
        <f>IF(ISBLANK(T99),"",IF(LEFT(T99,2)="一括","",IF(T99="DP2(30/70%)",0.7*N99,0.4*N99)))</f>
        <v/>
      </c>
      <c r="AA99" s="78" t="str">
        <f>IF(LEFT(T99,2)="一括","",IF(T99="DP2(30/70%)","",IF(T99="DP3(30/40/30%)",S99,"")))</f>
        <v/>
      </c>
      <c r="AB99" s="79" t="str">
        <f>IF(T99="DP3(30/40/30%)",L99,"")</f>
        <v/>
      </c>
      <c r="AC99" s="80" t="str">
        <f>IF(ISBLANK(T99),"",IF(T99="DP3(30/40/30%)",0.3*N99,""))</f>
        <v/>
      </c>
      <c r="AD99" s="221">
        <f t="shared" si="7"/>
        <v>202601</v>
      </c>
      <c r="AE99" s="105"/>
      <c r="AF99" s="337"/>
    </row>
    <row r="100" spans="1:33" s="21" customFormat="1" ht="14.45" hidden="1" customHeight="1">
      <c r="A100" s="197"/>
      <c r="B100" s="205"/>
      <c r="C100" s="120"/>
      <c r="D100" s="210"/>
      <c r="E100" s="148">
        <v>10</v>
      </c>
      <c r="F100" s="7" t="s">
        <v>154</v>
      </c>
      <c r="G100" s="8" t="s">
        <v>13</v>
      </c>
      <c r="H100" s="9" t="s">
        <v>5</v>
      </c>
      <c r="I100" s="10">
        <v>3</v>
      </c>
      <c r="J100" s="11" t="s">
        <v>14</v>
      </c>
      <c r="K100" s="12" t="s">
        <v>6</v>
      </c>
      <c r="L100" s="13" t="s">
        <v>7</v>
      </c>
      <c r="M100" s="316"/>
      <c r="N100" s="80">
        <v>53500000</v>
      </c>
      <c r="O100" s="22">
        <v>1</v>
      </c>
      <c r="P100" s="22">
        <v>52500000</v>
      </c>
      <c r="Q100" s="16">
        <v>202601</v>
      </c>
      <c r="R100" s="16">
        <v>202602</v>
      </c>
      <c r="S100" s="16">
        <v>202603</v>
      </c>
      <c r="T100" s="10" t="s">
        <v>8</v>
      </c>
      <c r="U100" s="218">
        <f t="shared" si="4"/>
        <v>202603</v>
      </c>
      <c r="V100" s="79" t="str">
        <f t="shared" si="5"/>
        <v>IDR</v>
      </c>
      <c r="W100" s="80">
        <f t="shared" si="6"/>
        <v>52500000</v>
      </c>
      <c r="X100" s="78" t="str">
        <f>IF(LEFT(T100,2)="一括","",IF(T100="DP2(30/70%)",S100,IF(T100="DP3(30/40/30%)",R100,"")))</f>
        <v/>
      </c>
      <c r="Y100" s="79" t="str">
        <f>IF(LEFT(T100,2)="一括","",V100)</f>
        <v/>
      </c>
      <c r="Z100" s="80" t="str">
        <f>IF(ISBLANK(T100),"",IF(LEFT(T100,2)="一括","",IF(T100="DP2(30/70%)",0.7*N100,0.4*N100)))</f>
        <v/>
      </c>
      <c r="AA100" s="78" t="str">
        <f>IF(LEFT(T100,2)="一括","",IF(T100="DP2(30/70%)","",IF(T100="DP3(30/40/30%)",S100,"")))</f>
        <v/>
      </c>
      <c r="AB100" s="79" t="str">
        <f>IF(T100="DP3(30/40/30%)",L100,"")</f>
        <v/>
      </c>
      <c r="AC100" s="80" t="str">
        <f>IF(ISBLANK(T100),"",IF(T100="DP3(30/40/30%)",0.3*N100,""))</f>
        <v/>
      </c>
      <c r="AD100" s="221">
        <f t="shared" si="7"/>
        <v>202602</v>
      </c>
      <c r="AE100" s="105"/>
      <c r="AF100" s="337"/>
    </row>
    <row r="101" spans="1:33" s="21" customFormat="1" ht="14.45" hidden="1" customHeight="1">
      <c r="A101" s="197"/>
      <c r="B101" s="205"/>
      <c r="C101" s="120"/>
      <c r="D101" s="210"/>
      <c r="E101" s="148">
        <v>11</v>
      </c>
      <c r="F101" s="7" t="s">
        <v>155</v>
      </c>
      <c r="G101" s="8" t="s">
        <v>13</v>
      </c>
      <c r="H101" s="9" t="s">
        <v>5</v>
      </c>
      <c r="I101" s="10">
        <v>3</v>
      </c>
      <c r="J101" s="11" t="s">
        <v>14</v>
      </c>
      <c r="K101" s="12" t="s">
        <v>6</v>
      </c>
      <c r="L101" s="13" t="s">
        <v>7</v>
      </c>
      <c r="M101" s="316"/>
      <c r="N101" s="80">
        <v>53500000</v>
      </c>
      <c r="O101" s="22">
        <v>1</v>
      </c>
      <c r="P101" s="22">
        <v>52500000</v>
      </c>
      <c r="Q101" s="16">
        <v>202602</v>
      </c>
      <c r="R101" s="16">
        <v>202603</v>
      </c>
      <c r="S101" s="16">
        <v>202604</v>
      </c>
      <c r="T101" s="10" t="s">
        <v>8</v>
      </c>
      <c r="U101" s="218">
        <f t="shared" si="4"/>
        <v>202604</v>
      </c>
      <c r="V101" s="79" t="str">
        <f t="shared" si="5"/>
        <v>IDR</v>
      </c>
      <c r="W101" s="80">
        <f t="shared" si="6"/>
        <v>52500000</v>
      </c>
      <c r="X101" s="78" t="str">
        <f>IF(LEFT(T101,2)="一括","",IF(T101="DP2(30/70%)",S101,IF(T101="DP3(30/40/30%)",R101,"")))</f>
        <v/>
      </c>
      <c r="Y101" s="79" t="str">
        <f>IF(LEFT(T101,2)="一括","",V101)</f>
        <v/>
      </c>
      <c r="Z101" s="80" t="str">
        <f>IF(ISBLANK(T101),"",IF(LEFT(T101,2)="一括","",IF(T101="DP2(30/70%)",0.7*N101,0.4*N101)))</f>
        <v/>
      </c>
      <c r="AA101" s="78" t="str">
        <f>IF(LEFT(T101,2)="一括","",IF(T101="DP2(30/70%)","",IF(T101="DP3(30/40/30%)",S101,"")))</f>
        <v/>
      </c>
      <c r="AB101" s="79" t="str">
        <f>IF(T101="DP3(30/40/30%)",L101,"")</f>
        <v/>
      </c>
      <c r="AC101" s="80" t="str">
        <f>IF(ISBLANK(T101),"",IF(T101="DP3(30/40/30%)",0.3*N101,""))</f>
        <v/>
      </c>
      <c r="AD101" s="221">
        <f t="shared" si="7"/>
        <v>202603</v>
      </c>
      <c r="AE101" s="105"/>
      <c r="AF101" s="337"/>
    </row>
    <row r="102" spans="1:33" s="21" customFormat="1" ht="14.45" hidden="1" customHeight="1">
      <c r="A102" s="197"/>
      <c r="B102" s="205"/>
      <c r="C102" s="120"/>
      <c r="D102" s="210"/>
      <c r="E102" s="148">
        <v>12</v>
      </c>
      <c r="F102" s="7" t="s">
        <v>156</v>
      </c>
      <c r="G102" s="8" t="s">
        <v>13</v>
      </c>
      <c r="H102" s="9" t="s">
        <v>5</v>
      </c>
      <c r="I102" s="10">
        <v>3</v>
      </c>
      <c r="J102" s="11" t="s">
        <v>14</v>
      </c>
      <c r="K102" s="12" t="s">
        <v>6</v>
      </c>
      <c r="L102" s="13" t="s">
        <v>7</v>
      </c>
      <c r="M102" s="316"/>
      <c r="N102" s="80">
        <v>53500000</v>
      </c>
      <c r="O102" s="22">
        <v>1</v>
      </c>
      <c r="P102" s="22">
        <v>52500000</v>
      </c>
      <c r="Q102" s="16">
        <v>202603</v>
      </c>
      <c r="R102" s="16">
        <v>202604</v>
      </c>
      <c r="S102" s="16">
        <v>202605</v>
      </c>
      <c r="T102" s="10" t="s">
        <v>8</v>
      </c>
      <c r="U102" s="218">
        <f t="shared" si="4"/>
        <v>202605</v>
      </c>
      <c r="V102" s="79" t="str">
        <f t="shared" si="5"/>
        <v>IDR</v>
      </c>
      <c r="W102" s="80">
        <f t="shared" si="6"/>
        <v>52500000</v>
      </c>
      <c r="X102" s="78" t="str">
        <f>IF(LEFT(T102,2)="一括","",IF(T102="DP2(30/70%)",S102,IF(T102="DP3(30/40/30%)",R102,"")))</f>
        <v/>
      </c>
      <c r="Y102" s="79" t="str">
        <f>IF(LEFT(T102,2)="一括","",V102)</f>
        <v/>
      </c>
      <c r="Z102" s="80" t="str">
        <f>IF(ISBLANK(T102),"",IF(LEFT(T102,2)="一括","",IF(T102="DP2(30/70%)",0.7*N102,0.4*N102)))</f>
        <v/>
      </c>
      <c r="AA102" s="78" t="str">
        <f>IF(LEFT(T102,2)="一括","",IF(T102="DP2(30/70%)","",IF(T102="DP3(30/40/30%)",S102,"")))</f>
        <v/>
      </c>
      <c r="AB102" s="79" t="str">
        <f>IF(T102="DP3(30/40/30%)",L102,"")</f>
        <v/>
      </c>
      <c r="AC102" s="80" t="str">
        <f>IF(ISBLANK(T102),"",IF(T102="DP3(30/40/30%)",0.3*N102,""))</f>
        <v/>
      </c>
      <c r="AD102" s="221">
        <f t="shared" si="7"/>
        <v>202604</v>
      </c>
      <c r="AE102" s="105"/>
      <c r="AF102" s="337"/>
    </row>
    <row r="103" spans="1:33" s="21" customFormat="1" ht="14.45" hidden="1" customHeight="1">
      <c r="A103" s="197"/>
      <c r="B103" s="205"/>
      <c r="C103" s="120"/>
      <c r="D103" s="210"/>
      <c r="E103" s="148"/>
      <c r="F103" s="7"/>
      <c r="G103" s="8"/>
      <c r="H103" s="9"/>
      <c r="I103" s="10"/>
      <c r="J103" s="11"/>
      <c r="K103" s="12"/>
      <c r="L103" s="13"/>
      <c r="M103" s="316"/>
      <c r="N103" s="80"/>
      <c r="O103" s="22"/>
      <c r="P103" s="80"/>
      <c r="Q103" s="16"/>
      <c r="R103" s="2"/>
      <c r="S103" s="2"/>
      <c r="T103" s="10"/>
      <c r="U103" s="218"/>
      <c r="V103" s="79"/>
      <c r="W103" s="80"/>
      <c r="X103" s="78"/>
      <c r="Y103" s="79"/>
      <c r="Z103" s="80"/>
      <c r="AA103" s="78"/>
      <c r="AB103" s="79"/>
      <c r="AC103" s="80"/>
      <c r="AD103" s="221"/>
      <c r="AE103" s="105"/>
      <c r="AF103" s="337"/>
    </row>
    <row r="104" spans="1:33" s="21" customFormat="1" ht="14.45" hidden="1" customHeight="1">
      <c r="A104" s="197"/>
      <c r="B104" s="205"/>
      <c r="C104" s="120"/>
      <c r="D104" s="210"/>
      <c r="E104" s="148"/>
      <c r="F104" s="7"/>
      <c r="G104" s="8"/>
      <c r="H104" s="9"/>
      <c r="I104" s="10"/>
      <c r="J104" s="11"/>
      <c r="K104" s="12"/>
      <c r="L104" s="13"/>
      <c r="M104" s="316"/>
      <c r="N104" s="80"/>
      <c r="O104" s="22"/>
      <c r="P104" s="80"/>
      <c r="Q104" s="16"/>
      <c r="R104" s="2"/>
      <c r="S104" s="2"/>
      <c r="T104" s="10"/>
      <c r="U104" s="218"/>
      <c r="V104" s="79"/>
      <c r="W104" s="80"/>
      <c r="X104" s="78"/>
      <c r="Y104" s="79"/>
      <c r="Z104" s="80"/>
      <c r="AA104" s="78"/>
      <c r="AB104" s="79"/>
      <c r="AC104" s="80"/>
      <c r="AD104" s="221"/>
      <c r="AE104" s="105"/>
      <c r="AF104" s="337"/>
    </row>
    <row r="105" spans="1:33" s="21" customFormat="1" ht="52.5" hidden="1" customHeight="1">
      <c r="A105" s="197" t="s">
        <v>157</v>
      </c>
      <c r="B105" s="205" t="s">
        <v>158</v>
      </c>
      <c r="C105" s="120">
        <f>SUM(P105:P121)</f>
        <v>708000000</v>
      </c>
      <c r="D105" s="210"/>
      <c r="E105" s="148">
        <v>1</v>
      </c>
      <c r="F105" s="123" t="s">
        <v>159</v>
      </c>
      <c r="G105" s="8" t="s">
        <v>13</v>
      </c>
      <c r="H105" s="9" t="s">
        <v>5</v>
      </c>
      <c r="I105" s="10">
        <v>3</v>
      </c>
      <c r="J105" s="11" t="s">
        <v>14</v>
      </c>
      <c r="K105" s="12" t="s">
        <v>6</v>
      </c>
      <c r="L105" s="13" t="s">
        <v>7</v>
      </c>
      <c r="M105" s="316"/>
      <c r="N105" s="80">
        <v>45000000</v>
      </c>
      <c r="O105" s="22">
        <v>1</v>
      </c>
      <c r="P105" s="22">
        <f t="shared" si="8"/>
        <v>45000000</v>
      </c>
      <c r="Q105" s="16">
        <v>202504</v>
      </c>
      <c r="R105" s="16">
        <v>202505</v>
      </c>
      <c r="S105" s="16">
        <v>202506</v>
      </c>
      <c r="T105" s="10" t="s">
        <v>8</v>
      </c>
      <c r="U105" s="218">
        <f t="shared" ref="U105:U121" si="9">IF(ISBLANK(Q105),"",IF(LEFT(T105,2)="一括",IF(T105="一括(検収時)",S105,R105),Q105))</f>
        <v>202506</v>
      </c>
      <c r="V105" s="79" t="str">
        <f t="shared" ref="V105:V121" si="10">IF(ISBLANK(T105),"",L105)</f>
        <v>IDR</v>
      </c>
      <c r="W105" s="80">
        <f t="shared" ref="W105:W121" si="11">P105</f>
        <v>45000000</v>
      </c>
      <c r="X105" s="78"/>
      <c r="Y105" s="79"/>
      <c r="Z105" s="80"/>
      <c r="AA105" s="78"/>
      <c r="AB105" s="79"/>
      <c r="AC105" s="80"/>
      <c r="AD105" s="221">
        <f t="shared" ref="AD105:AD121" si="12">R105</f>
        <v>202505</v>
      </c>
      <c r="AE105" s="105"/>
      <c r="AF105" s="337"/>
    </row>
    <row r="106" spans="1:33" s="21" customFormat="1" ht="48.75" hidden="1" thickBot="1">
      <c r="A106" s="197"/>
      <c r="B106" s="205"/>
      <c r="C106" s="120"/>
      <c r="D106" s="210"/>
      <c r="E106" s="148">
        <v>2</v>
      </c>
      <c r="F106" s="123" t="s">
        <v>160</v>
      </c>
      <c r="G106" s="8" t="s">
        <v>13</v>
      </c>
      <c r="H106" s="9" t="s">
        <v>5</v>
      </c>
      <c r="I106" s="10">
        <v>3</v>
      </c>
      <c r="J106" s="11" t="s">
        <v>14</v>
      </c>
      <c r="K106" s="12" t="s">
        <v>6</v>
      </c>
      <c r="L106" s="13" t="s">
        <v>7</v>
      </c>
      <c r="M106" s="316"/>
      <c r="N106" s="80">
        <v>45000000</v>
      </c>
      <c r="O106" s="22">
        <v>1</v>
      </c>
      <c r="P106" s="22">
        <f t="shared" si="8"/>
        <v>45000000</v>
      </c>
      <c r="Q106" s="16">
        <v>202505</v>
      </c>
      <c r="R106" s="16">
        <v>202506</v>
      </c>
      <c r="S106" s="16">
        <v>202507</v>
      </c>
      <c r="T106" s="10" t="s">
        <v>8</v>
      </c>
      <c r="U106" s="218">
        <f t="shared" si="9"/>
        <v>202507</v>
      </c>
      <c r="V106" s="79" t="str">
        <f t="shared" si="10"/>
        <v>IDR</v>
      </c>
      <c r="W106" s="80">
        <f t="shared" si="11"/>
        <v>45000000</v>
      </c>
      <c r="X106" s="78"/>
      <c r="Y106" s="79"/>
      <c r="Z106" s="80"/>
      <c r="AA106" s="78"/>
      <c r="AB106" s="79"/>
      <c r="AC106" s="80"/>
      <c r="AD106" s="221">
        <f t="shared" si="12"/>
        <v>202506</v>
      </c>
      <c r="AE106" s="105"/>
      <c r="AF106" s="337"/>
    </row>
    <row r="107" spans="1:33" s="21" customFormat="1" ht="63" hidden="1" customHeight="1">
      <c r="A107" s="197"/>
      <c r="B107" s="205"/>
      <c r="C107" s="120"/>
      <c r="D107" s="210"/>
      <c r="E107" s="148">
        <v>3</v>
      </c>
      <c r="F107" s="123" t="s">
        <v>161</v>
      </c>
      <c r="G107" s="8" t="s">
        <v>13</v>
      </c>
      <c r="H107" s="9" t="s">
        <v>5</v>
      </c>
      <c r="I107" s="10">
        <v>4</v>
      </c>
      <c r="J107" s="11" t="s">
        <v>14</v>
      </c>
      <c r="K107" s="12" t="s">
        <v>6</v>
      </c>
      <c r="L107" s="13" t="s">
        <v>7</v>
      </c>
      <c r="M107" s="316"/>
      <c r="N107" s="80">
        <v>60000000</v>
      </c>
      <c r="O107" s="22">
        <v>1</v>
      </c>
      <c r="P107" s="22">
        <f t="shared" si="8"/>
        <v>60000000</v>
      </c>
      <c r="Q107" s="16">
        <v>202506</v>
      </c>
      <c r="R107" s="16">
        <v>202507</v>
      </c>
      <c r="S107" s="16">
        <v>202508</v>
      </c>
      <c r="T107" s="10" t="s">
        <v>8</v>
      </c>
      <c r="U107" s="218">
        <f t="shared" si="9"/>
        <v>202508</v>
      </c>
      <c r="V107" s="79" t="str">
        <f t="shared" si="10"/>
        <v>IDR</v>
      </c>
      <c r="W107" s="80">
        <f t="shared" si="11"/>
        <v>60000000</v>
      </c>
      <c r="X107" s="78"/>
      <c r="Y107" s="79"/>
      <c r="Z107" s="80"/>
      <c r="AA107" s="78"/>
      <c r="AB107" s="79"/>
      <c r="AC107" s="80"/>
      <c r="AD107" s="221">
        <f t="shared" si="12"/>
        <v>202507</v>
      </c>
      <c r="AE107" s="105"/>
      <c r="AF107" s="337"/>
    </row>
    <row r="108" spans="1:33" s="21" customFormat="1" ht="36.75" hidden="1" thickBot="1">
      <c r="A108" s="197"/>
      <c r="B108" s="205"/>
      <c r="C108" s="120"/>
      <c r="D108" s="210"/>
      <c r="E108" s="148">
        <v>4</v>
      </c>
      <c r="F108" s="123" t="s">
        <v>162</v>
      </c>
      <c r="G108" s="8" t="s">
        <v>13</v>
      </c>
      <c r="H108" s="9" t="s">
        <v>5</v>
      </c>
      <c r="I108" s="10">
        <v>2</v>
      </c>
      <c r="J108" s="11" t="s">
        <v>14</v>
      </c>
      <c r="K108" s="12" t="s">
        <v>6</v>
      </c>
      <c r="L108" s="13" t="s">
        <v>7</v>
      </c>
      <c r="M108" s="316"/>
      <c r="N108" s="80">
        <v>30000000</v>
      </c>
      <c r="O108" s="22">
        <v>1</v>
      </c>
      <c r="P108" s="22">
        <f t="shared" si="8"/>
        <v>30000000</v>
      </c>
      <c r="Q108" s="16">
        <v>202507</v>
      </c>
      <c r="R108" s="16">
        <v>202508</v>
      </c>
      <c r="S108" s="16">
        <v>202509</v>
      </c>
      <c r="T108" s="10" t="s">
        <v>8</v>
      </c>
      <c r="U108" s="218">
        <f t="shared" si="9"/>
        <v>202509</v>
      </c>
      <c r="V108" s="79" t="str">
        <f t="shared" si="10"/>
        <v>IDR</v>
      </c>
      <c r="W108" s="80">
        <f t="shared" si="11"/>
        <v>30000000</v>
      </c>
      <c r="X108" s="78"/>
      <c r="Y108" s="79"/>
      <c r="Z108" s="80"/>
      <c r="AA108" s="78"/>
      <c r="AB108" s="79"/>
      <c r="AC108" s="80"/>
      <c r="AD108" s="221">
        <f t="shared" si="12"/>
        <v>202508</v>
      </c>
      <c r="AE108" s="105"/>
      <c r="AF108" s="337"/>
    </row>
    <row r="109" spans="1:33" s="21" customFormat="1" ht="24.75" hidden="1" thickBot="1">
      <c r="A109" s="197"/>
      <c r="B109" s="205"/>
      <c r="C109" s="120"/>
      <c r="D109" s="210"/>
      <c r="E109" s="148">
        <v>5</v>
      </c>
      <c r="F109" s="123" t="s">
        <v>163</v>
      </c>
      <c r="G109" s="8" t="s">
        <v>13</v>
      </c>
      <c r="H109" s="9" t="s">
        <v>5</v>
      </c>
      <c r="I109" s="10">
        <v>1</v>
      </c>
      <c r="J109" s="11" t="s">
        <v>14</v>
      </c>
      <c r="K109" s="12" t="s">
        <v>6</v>
      </c>
      <c r="L109" s="13" t="s">
        <v>7</v>
      </c>
      <c r="M109" s="316"/>
      <c r="N109" s="80">
        <v>22000000</v>
      </c>
      <c r="O109" s="22">
        <v>1</v>
      </c>
      <c r="P109" s="22">
        <f t="shared" si="8"/>
        <v>22000000</v>
      </c>
      <c r="Q109" s="16">
        <v>202508</v>
      </c>
      <c r="R109" s="16">
        <v>202509</v>
      </c>
      <c r="S109" s="16">
        <v>202510</v>
      </c>
      <c r="T109" s="10" t="s">
        <v>8</v>
      </c>
      <c r="U109" s="218">
        <f t="shared" si="9"/>
        <v>202510</v>
      </c>
      <c r="V109" s="79" t="str">
        <f t="shared" si="10"/>
        <v>IDR</v>
      </c>
      <c r="W109" s="80">
        <f t="shared" si="11"/>
        <v>22000000</v>
      </c>
      <c r="X109" s="78" t="str">
        <f>IF(LEFT(T109,2)="一括","",IF(T109="DP2(30/70%)",S109,IF(T109="DP3(30/40/30%)",R109,"")))</f>
        <v/>
      </c>
      <c r="Y109" s="79" t="str">
        <f>IF(LEFT(T109,2)="一括","",V109)</f>
        <v/>
      </c>
      <c r="Z109" s="80" t="str">
        <f>IF(ISBLANK(T109),"",IF(LEFT(T109,2)="一括","",IF(T109="DP2(30/70%)",0.7*N109,0.4*N109)))</f>
        <v/>
      </c>
      <c r="AA109" s="78" t="str">
        <f>IF(LEFT(T109,2)="一括","",IF(T109="DP2(30/70%)","",IF(T109="DP3(30/40/30%)",S109,"")))</f>
        <v/>
      </c>
      <c r="AB109" s="79" t="str">
        <f>IF(T109="DP3(30/40/30%)",L109,"")</f>
        <v/>
      </c>
      <c r="AC109" s="80" t="str">
        <f>IF(ISBLANK(T109),"",IF(T109="DP3(30/40/30%)",0.3*N109,""))</f>
        <v/>
      </c>
      <c r="AD109" s="221">
        <f t="shared" si="12"/>
        <v>202509</v>
      </c>
      <c r="AE109" s="105"/>
      <c r="AF109" s="337"/>
    </row>
    <row r="110" spans="1:33" s="82" customFormat="1" ht="24.75" hidden="1" thickBot="1">
      <c r="A110" s="197"/>
      <c r="B110" s="166"/>
      <c r="C110" s="159"/>
      <c r="D110" s="201"/>
      <c r="E110" s="148">
        <v>6</v>
      </c>
      <c r="F110" s="123" t="s">
        <v>164</v>
      </c>
      <c r="G110" s="8" t="s">
        <v>13</v>
      </c>
      <c r="H110" s="9" t="s">
        <v>5</v>
      </c>
      <c r="I110" s="10">
        <v>1</v>
      </c>
      <c r="J110" s="11" t="s">
        <v>14</v>
      </c>
      <c r="K110" s="12" t="s">
        <v>6</v>
      </c>
      <c r="L110" s="13" t="s">
        <v>7</v>
      </c>
      <c r="M110" s="316"/>
      <c r="N110" s="80">
        <v>22000000</v>
      </c>
      <c r="O110" s="22">
        <v>1</v>
      </c>
      <c r="P110" s="22">
        <f t="shared" si="8"/>
        <v>22000000</v>
      </c>
      <c r="Q110" s="16">
        <v>202504</v>
      </c>
      <c r="R110" s="16">
        <v>202505</v>
      </c>
      <c r="S110" s="16">
        <v>202506</v>
      </c>
      <c r="T110" s="10" t="s">
        <v>8</v>
      </c>
      <c r="U110" s="218">
        <f t="shared" si="9"/>
        <v>202506</v>
      </c>
      <c r="V110" s="79" t="str">
        <f t="shared" si="10"/>
        <v>IDR</v>
      </c>
      <c r="W110" s="80">
        <f t="shared" si="11"/>
        <v>22000000</v>
      </c>
      <c r="X110" s="279" t="str">
        <f>IF(LEFT(T110,2)="一括","",IF(T110="DP2(30/70%)",S110,IF(T110="DP3(30/40/30%)",R110,"")))</f>
        <v/>
      </c>
      <c r="Y110" s="280" t="str">
        <f>IF(LEFT(T110,2)="一括","",V110)</f>
        <v/>
      </c>
      <c r="Z110" s="281" t="str">
        <f>IF(ISBLANK(T110),"",IF(LEFT(T110,2)="一括","",IF(T110="DP2(30/70%)",0.7*N110,0.4*N110)))</f>
        <v/>
      </c>
      <c r="AA110" s="279" t="str">
        <f>IF(LEFT(T110,2)="一括","",IF(T110="DP2(30/70%)","",IF(T110="DP3(30/40/30%)",S110,"")))</f>
        <v/>
      </c>
      <c r="AB110" s="280" t="str">
        <f>IF(T110="DP3(30/40/30%)",L110,"")</f>
        <v/>
      </c>
      <c r="AC110" s="281" t="str">
        <f>IF(ISBLANK(T110),"",IF(T110="DP3(30/40/30%)",0.3*N110,""))</f>
        <v/>
      </c>
      <c r="AD110" s="221">
        <f t="shared" si="12"/>
        <v>202505</v>
      </c>
      <c r="AE110" s="118"/>
      <c r="AF110" s="338"/>
      <c r="AG110" s="21"/>
    </row>
    <row r="111" spans="1:33" s="82" customFormat="1" ht="24.75" hidden="1" thickBot="1">
      <c r="A111" s="197"/>
      <c r="B111" s="166"/>
      <c r="C111" s="159"/>
      <c r="D111" s="201"/>
      <c r="E111" s="148">
        <v>7</v>
      </c>
      <c r="F111" s="123" t="s">
        <v>165</v>
      </c>
      <c r="G111" s="8" t="s">
        <v>13</v>
      </c>
      <c r="H111" s="9" t="s">
        <v>5</v>
      </c>
      <c r="I111" s="10">
        <v>1</v>
      </c>
      <c r="J111" s="11" t="s">
        <v>14</v>
      </c>
      <c r="K111" s="12" t="s">
        <v>6</v>
      </c>
      <c r="L111" s="13" t="s">
        <v>7</v>
      </c>
      <c r="M111" s="316"/>
      <c r="N111" s="80">
        <v>22000000</v>
      </c>
      <c r="O111" s="22">
        <v>1</v>
      </c>
      <c r="P111" s="22">
        <f t="shared" si="8"/>
        <v>22000000</v>
      </c>
      <c r="Q111" s="16">
        <v>202505</v>
      </c>
      <c r="R111" s="16">
        <v>202506</v>
      </c>
      <c r="S111" s="16">
        <v>202507</v>
      </c>
      <c r="T111" s="10" t="s">
        <v>8</v>
      </c>
      <c r="U111" s="218">
        <f t="shared" si="9"/>
        <v>202507</v>
      </c>
      <c r="V111" s="79" t="str">
        <f t="shared" si="10"/>
        <v>IDR</v>
      </c>
      <c r="W111" s="80">
        <f t="shared" si="11"/>
        <v>22000000</v>
      </c>
      <c r="X111" s="279" t="str">
        <f>IF(LEFT(T111,2)="一括","",IF(T111="DP2(30/70%)",S111,IF(T111="DP3(30/40/30%)",R111,"")))</f>
        <v/>
      </c>
      <c r="Y111" s="280" t="str">
        <f>IF(LEFT(T111,2)="一括","",V111)</f>
        <v/>
      </c>
      <c r="Z111" s="281" t="str">
        <f>IF(ISBLANK(T111),"",IF(LEFT(T111,2)="一括","",IF(T111="DP2(30/70%)",0.7*N111,0.4*N111)))</f>
        <v/>
      </c>
      <c r="AA111" s="279" t="str">
        <f>IF(LEFT(T111,2)="一括","",IF(T111="DP2(30/70%)","",IF(T111="DP3(30/40/30%)",S111,"")))</f>
        <v/>
      </c>
      <c r="AB111" s="280" t="str">
        <f>IF(T111="DP3(30/40/30%)",L111,"")</f>
        <v/>
      </c>
      <c r="AC111" s="281" t="str">
        <f>IF(ISBLANK(T111),"",IF(T111="DP3(30/40/30%)",0.3*N111,""))</f>
        <v/>
      </c>
      <c r="AD111" s="221">
        <f t="shared" si="12"/>
        <v>202506</v>
      </c>
      <c r="AE111" s="118"/>
      <c r="AF111" s="338"/>
      <c r="AG111" s="21"/>
    </row>
    <row r="112" spans="1:33" s="21" customFormat="1" ht="52.5" hidden="1" customHeight="1">
      <c r="A112" s="197"/>
      <c r="B112" s="205"/>
      <c r="C112" s="120"/>
      <c r="D112" s="210"/>
      <c r="E112" s="148">
        <v>8</v>
      </c>
      <c r="F112" s="123" t="s">
        <v>166</v>
      </c>
      <c r="G112" s="8" t="s">
        <v>13</v>
      </c>
      <c r="H112" s="9" t="s">
        <v>5</v>
      </c>
      <c r="I112" s="10">
        <v>3</v>
      </c>
      <c r="J112" s="11" t="s">
        <v>14</v>
      </c>
      <c r="K112" s="12" t="s">
        <v>6</v>
      </c>
      <c r="L112" s="13" t="s">
        <v>7</v>
      </c>
      <c r="M112" s="316"/>
      <c r="N112" s="80">
        <v>66000000</v>
      </c>
      <c r="O112" s="22">
        <v>1</v>
      </c>
      <c r="P112" s="22">
        <f t="shared" si="8"/>
        <v>66000000</v>
      </c>
      <c r="Q112" s="16">
        <v>202506</v>
      </c>
      <c r="R112" s="16">
        <v>202507</v>
      </c>
      <c r="S112" s="16">
        <v>202508</v>
      </c>
      <c r="T112" s="10" t="s">
        <v>8</v>
      </c>
      <c r="U112" s="218">
        <f t="shared" si="9"/>
        <v>202508</v>
      </c>
      <c r="V112" s="79" t="str">
        <f t="shared" si="10"/>
        <v>IDR</v>
      </c>
      <c r="W112" s="80">
        <f t="shared" si="11"/>
        <v>66000000</v>
      </c>
      <c r="X112" s="78"/>
      <c r="Y112" s="79"/>
      <c r="Z112" s="80"/>
      <c r="AA112" s="78"/>
      <c r="AB112" s="79" t="str">
        <f>IF(T112="DP3(30/40/30%)",L112,"")</f>
        <v/>
      </c>
      <c r="AC112" s="80"/>
      <c r="AD112" s="221">
        <f t="shared" si="12"/>
        <v>202507</v>
      </c>
      <c r="AE112" s="105"/>
      <c r="AF112" s="337"/>
    </row>
    <row r="113" spans="1:34" s="82" customFormat="1" ht="24.75" hidden="1" customHeight="1">
      <c r="A113" s="197"/>
      <c r="B113" s="205"/>
      <c r="C113" s="120"/>
      <c r="D113" s="210"/>
      <c r="E113" s="148">
        <v>9</v>
      </c>
      <c r="F113" s="123" t="s">
        <v>167</v>
      </c>
      <c r="G113" s="8" t="s">
        <v>13</v>
      </c>
      <c r="H113" s="9" t="s">
        <v>5</v>
      </c>
      <c r="I113" s="10">
        <v>1</v>
      </c>
      <c r="J113" s="11" t="s">
        <v>14</v>
      </c>
      <c r="K113" s="12" t="s">
        <v>6</v>
      </c>
      <c r="L113" s="13" t="s">
        <v>7</v>
      </c>
      <c r="M113" s="316"/>
      <c r="N113" s="80">
        <v>22000000</v>
      </c>
      <c r="O113" s="22">
        <v>1</v>
      </c>
      <c r="P113" s="22">
        <f t="shared" si="8"/>
        <v>22000000</v>
      </c>
      <c r="Q113" s="16">
        <v>202507</v>
      </c>
      <c r="R113" s="16">
        <v>202508</v>
      </c>
      <c r="S113" s="16">
        <v>202509</v>
      </c>
      <c r="T113" s="10" t="s">
        <v>8</v>
      </c>
      <c r="U113" s="218">
        <f t="shared" si="9"/>
        <v>202509</v>
      </c>
      <c r="V113" s="79" t="str">
        <f t="shared" si="10"/>
        <v>IDR</v>
      </c>
      <c r="W113" s="80">
        <f t="shared" si="11"/>
        <v>22000000</v>
      </c>
      <c r="X113" s="279" t="str">
        <f>IF(LEFT(T113,2)="一括","",IF(T113="DP2(30/70%)",S113,IF(T113="DP3(30/40/30%)",R113,"")))</f>
        <v/>
      </c>
      <c r="Y113" s="280" t="str">
        <f>IF(LEFT(T113,2)="一括","",V113)</f>
        <v/>
      </c>
      <c r="Z113" s="281" t="str">
        <f>IF(ISBLANK(T113),"",IF(LEFT(T113,2)="一括","",IF(T113="DP2(30/70%)",0.7*N113,0.4*N113)))</f>
        <v/>
      </c>
      <c r="AA113" s="279" t="str">
        <f>IF(LEFT(T113,2)="一括","",IF(T113="DP2(30/70%)","",IF(T113="DP3(30/40/30%)",S113,"")))</f>
        <v/>
      </c>
      <c r="AB113" s="280" t="str">
        <f>IF(T113="DP3(30/40/30%)",L113,"")</f>
        <v/>
      </c>
      <c r="AC113" s="281" t="str">
        <f>IF(ISBLANK(T113),"",IF(T113="DP3(30/40/30%)",0.3*N113,""))</f>
        <v/>
      </c>
      <c r="AD113" s="221">
        <f t="shared" si="12"/>
        <v>202508</v>
      </c>
      <c r="AE113" s="118"/>
      <c r="AF113" s="338"/>
      <c r="AG113" s="21"/>
      <c r="AH113" s="21"/>
    </row>
    <row r="114" spans="1:34" s="21" customFormat="1" ht="29.25" hidden="1" customHeight="1">
      <c r="A114" s="197"/>
      <c r="B114" s="205"/>
      <c r="C114" s="120"/>
      <c r="D114" s="210"/>
      <c r="E114" s="148">
        <v>10</v>
      </c>
      <c r="F114" s="123" t="s">
        <v>168</v>
      </c>
      <c r="G114" s="8" t="s">
        <v>13</v>
      </c>
      <c r="H114" s="9" t="s">
        <v>5</v>
      </c>
      <c r="I114" s="10">
        <v>1</v>
      </c>
      <c r="J114" s="11" t="s">
        <v>14</v>
      </c>
      <c r="K114" s="12" t="s">
        <v>6</v>
      </c>
      <c r="L114" s="13" t="s">
        <v>7</v>
      </c>
      <c r="M114" s="316"/>
      <c r="N114" s="80">
        <v>22000000</v>
      </c>
      <c r="O114" s="22">
        <v>1</v>
      </c>
      <c r="P114" s="22">
        <f t="shared" si="8"/>
        <v>22000000</v>
      </c>
      <c r="Q114" s="16">
        <v>202508</v>
      </c>
      <c r="R114" s="16">
        <v>202509</v>
      </c>
      <c r="S114" s="16">
        <v>202510</v>
      </c>
      <c r="T114" s="10" t="s">
        <v>8</v>
      </c>
      <c r="U114" s="218">
        <f t="shared" si="9"/>
        <v>202510</v>
      </c>
      <c r="V114" s="79" t="str">
        <f t="shared" si="10"/>
        <v>IDR</v>
      </c>
      <c r="W114" s="80">
        <f t="shared" si="11"/>
        <v>22000000</v>
      </c>
      <c r="X114" s="78"/>
      <c r="Y114" s="79"/>
      <c r="Z114" s="80"/>
      <c r="AA114" s="78"/>
      <c r="AB114" s="79"/>
      <c r="AC114" s="80"/>
      <c r="AD114" s="221">
        <f t="shared" si="12"/>
        <v>202509</v>
      </c>
      <c r="AE114" s="105"/>
      <c r="AF114" s="337"/>
    </row>
    <row r="115" spans="1:34" s="82" customFormat="1" ht="27.75" hidden="1" customHeight="1">
      <c r="A115" s="197"/>
      <c r="B115" s="205"/>
      <c r="C115" s="159"/>
      <c r="D115" s="201"/>
      <c r="E115" s="148">
        <v>11</v>
      </c>
      <c r="F115" s="123" t="s">
        <v>169</v>
      </c>
      <c r="G115" s="8" t="s">
        <v>13</v>
      </c>
      <c r="H115" s="9" t="s">
        <v>5</v>
      </c>
      <c r="I115" s="10">
        <v>1</v>
      </c>
      <c r="J115" s="11" t="s">
        <v>14</v>
      </c>
      <c r="K115" s="12" t="s">
        <v>6</v>
      </c>
      <c r="L115" s="13" t="s">
        <v>7</v>
      </c>
      <c r="M115" s="316"/>
      <c r="N115" s="80">
        <v>22000000</v>
      </c>
      <c r="O115" s="22">
        <v>1</v>
      </c>
      <c r="P115" s="22">
        <f t="shared" si="8"/>
        <v>22000000</v>
      </c>
      <c r="Q115" s="16">
        <v>202509</v>
      </c>
      <c r="R115" s="16">
        <v>202510</v>
      </c>
      <c r="S115" s="16">
        <v>202511</v>
      </c>
      <c r="T115" s="10" t="s">
        <v>8</v>
      </c>
      <c r="U115" s="218">
        <f t="shared" si="9"/>
        <v>202511</v>
      </c>
      <c r="V115" s="79" t="str">
        <f t="shared" si="10"/>
        <v>IDR</v>
      </c>
      <c r="W115" s="80">
        <f t="shared" si="11"/>
        <v>22000000</v>
      </c>
      <c r="X115" s="279" t="str">
        <f t="shared" ref="X115:X122" si="13">IF(LEFT(T115,2)="一括","",IF(T115="DP2(30/70%)",S115,IF(T115="DP3(30/40/30%)",R115,"")))</f>
        <v/>
      </c>
      <c r="Y115" s="280" t="str">
        <f t="shared" ref="Y115:Y121" si="14">IF(LEFT(T115,2)="一括","",V115)</f>
        <v/>
      </c>
      <c r="Z115" s="281" t="str">
        <f t="shared" ref="Z115:Z122" si="15">IF(ISBLANK(T115),"",IF(LEFT(T115,2)="一括","",IF(T115="DP2(30/70%)",0.7*N115,0.4*N115)))</f>
        <v/>
      </c>
      <c r="AA115" s="279" t="str">
        <f t="shared" ref="AA115:AA122" si="16">IF(LEFT(T115,2)="一括","",IF(T115="DP2(30/70%)","",IF(T115="DP3(30/40/30%)",S115,"")))</f>
        <v/>
      </c>
      <c r="AB115" s="280" t="str">
        <f t="shared" ref="AB115:AB122" si="17">IF(T115="DP3(30/40/30%)",L115,"")</f>
        <v/>
      </c>
      <c r="AC115" s="281" t="str">
        <f t="shared" ref="AC115:AC122" si="18">IF(ISBLANK(T115),"",IF(T115="DP3(30/40/30%)",0.3*N115,""))</f>
        <v/>
      </c>
      <c r="AD115" s="221">
        <f t="shared" si="12"/>
        <v>202510</v>
      </c>
      <c r="AE115" s="118"/>
      <c r="AF115" s="338"/>
      <c r="AG115" s="21"/>
      <c r="AH115" s="21"/>
    </row>
    <row r="116" spans="1:34" s="82" customFormat="1" ht="93" hidden="1" customHeight="1">
      <c r="A116" s="197"/>
      <c r="B116" s="205"/>
      <c r="C116" s="159"/>
      <c r="D116" s="201"/>
      <c r="E116" s="148">
        <v>12</v>
      </c>
      <c r="F116" s="123" t="s">
        <v>170</v>
      </c>
      <c r="G116" s="8" t="s">
        <v>13</v>
      </c>
      <c r="H116" s="9" t="s">
        <v>5</v>
      </c>
      <c r="I116" s="10">
        <v>6</v>
      </c>
      <c r="J116" s="11" t="s">
        <v>14</v>
      </c>
      <c r="K116" s="12" t="s">
        <v>6</v>
      </c>
      <c r="L116" s="13" t="s">
        <v>7</v>
      </c>
      <c r="M116" s="316"/>
      <c r="N116" s="80">
        <v>132000000</v>
      </c>
      <c r="O116" s="22">
        <v>1</v>
      </c>
      <c r="P116" s="22">
        <f t="shared" si="8"/>
        <v>132000000</v>
      </c>
      <c r="Q116" s="16">
        <v>202510</v>
      </c>
      <c r="R116" s="16">
        <v>202511</v>
      </c>
      <c r="S116" s="16">
        <v>202512</v>
      </c>
      <c r="T116" s="10" t="s">
        <v>8</v>
      </c>
      <c r="U116" s="218">
        <f t="shared" si="9"/>
        <v>202512</v>
      </c>
      <c r="V116" s="79" t="str">
        <f t="shared" si="10"/>
        <v>IDR</v>
      </c>
      <c r="W116" s="80">
        <f t="shared" si="11"/>
        <v>132000000</v>
      </c>
      <c r="X116" s="279" t="str">
        <f t="shared" si="13"/>
        <v/>
      </c>
      <c r="Y116" s="280" t="str">
        <f t="shared" si="14"/>
        <v/>
      </c>
      <c r="Z116" s="281" t="str">
        <f t="shared" si="15"/>
        <v/>
      </c>
      <c r="AA116" s="279" t="str">
        <f t="shared" si="16"/>
        <v/>
      </c>
      <c r="AB116" s="280" t="str">
        <f t="shared" si="17"/>
        <v/>
      </c>
      <c r="AC116" s="281" t="str">
        <f t="shared" si="18"/>
        <v/>
      </c>
      <c r="AD116" s="221">
        <f t="shared" si="12"/>
        <v>202511</v>
      </c>
      <c r="AE116" s="118"/>
      <c r="AF116" s="338"/>
      <c r="AG116" s="21"/>
      <c r="AH116" s="21"/>
    </row>
    <row r="117" spans="1:34" s="82" customFormat="1" ht="27.75" hidden="1" customHeight="1">
      <c r="A117" s="197"/>
      <c r="B117" s="205"/>
      <c r="C117" s="159"/>
      <c r="D117" s="201"/>
      <c r="E117" s="148">
        <v>13</v>
      </c>
      <c r="F117" s="123" t="s">
        <v>171</v>
      </c>
      <c r="G117" s="8" t="s">
        <v>13</v>
      </c>
      <c r="H117" s="9" t="s">
        <v>5</v>
      </c>
      <c r="I117" s="10">
        <v>1</v>
      </c>
      <c r="J117" s="11" t="s">
        <v>14</v>
      </c>
      <c r="K117" s="12" t="s">
        <v>6</v>
      </c>
      <c r="L117" s="13" t="s">
        <v>7</v>
      </c>
      <c r="M117" s="316"/>
      <c r="N117" s="80">
        <v>22000000</v>
      </c>
      <c r="O117" s="22">
        <v>1</v>
      </c>
      <c r="P117" s="22">
        <f t="shared" si="8"/>
        <v>22000000</v>
      </c>
      <c r="Q117" s="16">
        <v>202511</v>
      </c>
      <c r="R117" s="16">
        <v>202512</v>
      </c>
      <c r="S117" s="16">
        <v>202601</v>
      </c>
      <c r="T117" s="10" t="s">
        <v>8</v>
      </c>
      <c r="U117" s="218">
        <f t="shared" si="9"/>
        <v>202601</v>
      </c>
      <c r="V117" s="79" t="str">
        <f t="shared" si="10"/>
        <v>IDR</v>
      </c>
      <c r="W117" s="80">
        <f t="shared" si="11"/>
        <v>22000000</v>
      </c>
      <c r="X117" s="279" t="str">
        <f t="shared" si="13"/>
        <v/>
      </c>
      <c r="Y117" s="280" t="str">
        <f t="shared" si="14"/>
        <v/>
      </c>
      <c r="Z117" s="281" t="str">
        <f t="shared" si="15"/>
        <v/>
      </c>
      <c r="AA117" s="279" t="str">
        <f t="shared" si="16"/>
        <v/>
      </c>
      <c r="AB117" s="280" t="str">
        <f t="shared" si="17"/>
        <v/>
      </c>
      <c r="AC117" s="281" t="str">
        <f t="shared" si="18"/>
        <v/>
      </c>
      <c r="AD117" s="221">
        <f t="shared" si="12"/>
        <v>202512</v>
      </c>
      <c r="AE117" s="118"/>
      <c r="AF117" s="338"/>
      <c r="AG117" s="21"/>
      <c r="AH117" s="21"/>
    </row>
    <row r="118" spans="1:34" s="82" customFormat="1" ht="28.5" hidden="1" customHeight="1">
      <c r="A118" s="197"/>
      <c r="B118" s="205"/>
      <c r="C118" s="159"/>
      <c r="D118" s="201"/>
      <c r="E118" s="148">
        <v>14</v>
      </c>
      <c r="F118" s="123" t="s">
        <v>172</v>
      </c>
      <c r="G118" s="8" t="s">
        <v>13</v>
      </c>
      <c r="H118" s="9" t="s">
        <v>5</v>
      </c>
      <c r="I118" s="10">
        <v>1</v>
      </c>
      <c r="J118" s="11" t="s">
        <v>14</v>
      </c>
      <c r="K118" s="12" t="s">
        <v>6</v>
      </c>
      <c r="L118" s="13" t="s">
        <v>7</v>
      </c>
      <c r="M118" s="316"/>
      <c r="N118" s="80">
        <v>22000000</v>
      </c>
      <c r="O118" s="22">
        <v>1</v>
      </c>
      <c r="P118" s="22">
        <f t="shared" si="8"/>
        <v>22000000</v>
      </c>
      <c r="Q118" s="16">
        <v>202512</v>
      </c>
      <c r="R118" s="16">
        <v>202601</v>
      </c>
      <c r="S118" s="16">
        <v>202602</v>
      </c>
      <c r="T118" s="10" t="s">
        <v>8</v>
      </c>
      <c r="U118" s="218">
        <f t="shared" si="9"/>
        <v>202602</v>
      </c>
      <c r="V118" s="79" t="str">
        <f t="shared" si="10"/>
        <v>IDR</v>
      </c>
      <c r="W118" s="80">
        <f t="shared" si="11"/>
        <v>22000000</v>
      </c>
      <c r="X118" s="279" t="str">
        <f t="shared" si="13"/>
        <v/>
      </c>
      <c r="Y118" s="280" t="str">
        <f t="shared" si="14"/>
        <v/>
      </c>
      <c r="Z118" s="281" t="str">
        <f t="shared" si="15"/>
        <v/>
      </c>
      <c r="AA118" s="279" t="str">
        <f t="shared" si="16"/>
        <v/>
      </c>
      <c r="AB118" s="280" t="str">
        <f t="shared" si="17"/>
        <v/>
      </c>
      <c r="AC118" s="281" t="str">
        <f t="shared" si="18"/>
        <v/>
      </c>
      <c r="AD118" s="221">
        <f t="shared" si="12"/>
        <v>202601</v>
      </c>
      <c r="AE118" s="118"/>
      <c r="AF118" s="338"/>
      <c r="AG118" s="21"/>
      <c r="AH118" s="21"/>
    </row>
    <row r="119" spans="1:34" s="82" customFormat="1" ht="36.75" hidden="1" thickBot="1">
      <c r="A119" s="197"/>
      <c r="B119" s="205"/>
      <c r="C119" s="159"/>
      <c r="D119" s="201"/>
      <c r="E119" s="148">
        <v>15</v>
      </c>
      <c r="F119" s="123" t="s">
        <v>173</v>
      </c>
      <c r="G119" s="8" t="s">
        <v>13</v>
      </c>
      <c r="H119" s="9" t="s">
        <v>5</v>
      </c>
      <c r="I119" s="10">
        <v>2</v>
      </c>
      <c r="J119" s="11" t="s">
        <v>14</v>
      </c>
      <c r="K119" s="12" t="s">
        <v>6</v>
      </c>
      <c r="L119" s="13" t="s">
        <v>7</v>
      </c>
      <c r="M119" s="316"/>
      <c r="N119" s="80">
        <v>44000000</v>
      </c>
      <c r="O119" s="22">
        <v>1</v>
      </c>
      <c r="P119" s="22">
        <f t="shared" si="8"/>
        <v>44000000</v>
      </c>
      <c r="Q119" s="16">
        <v>202601</v>
      </c>
      <c r="R119" s="16">
        <v>202602</v>
      </c>
      <c r="S119" s="16">
        <v>202603</v>
      </c>
      <c r="T119" s="10" t="s">
        <v>8</v>
      </c>
      <c r="U119" s="218">
        <f t="shared" si="9"/>
        <v>202603</v>
      </c>
      <c r="V119" s="79" t="str">
        <f t="shared" si="10"/>
        <v>IDR</v>
      </c>
      <c r="W119" s="80">
        <f t="shared" si="11"/>
        <v>44000000</v>
      </c>
      <c r="X119" s="279" t="str">
        <f t="shared" si="13"/>
        <v/>
      </c>
      <c r="Y119" s="280" t="str">
        <f t="shared" si="14"/>
        <v/>
      </c>
      <c r="Z119" s="281" t="str">
        <f t="shared" si="15"/>
        <v/>
      </c>
      <c r="AA119" s="279" t="str">
        <f t="shared" si="16"/>
        <v/>
      </c>
      <c r="AB119" s="280" t="str">
        <f t="shared" si="17"/>
        <v/>
      </c>
      <c r="AC119" s="281" t="str">
        <f t="shared" si="18"/>
        <v/>
      </c>
      <c r="AD119" s="221">
        <f t="shared" si="12"/>
        <v>202602</v>
      </c>
      <c r="AE119" s="118"/>
      <c r="AF119" s="338"/>
      <c r="AG119" s="21"/>
      <c r="AH119" s="21"/>
    </row>
    <row r="120" spans="1:34" s="82" customFormat="1" ht="51.75" hidden="1" customHeight="1">
      <c r="A120" s="197"/>
      <c r="B120" s="205"/>
      <c r="C120" s="159"/>
      <c r="D120" s="201"/>
      <c r="E120" s="148">
        <v>16</v>
      </c>
      <c r="F120" s="123" t="s">
        <v>174</v>
      </c>
      <c r="G120" s="8" t="s">
        <v>13</v>
      </c>
      <c r="H120" s="9" t="s">
        <v>5</v>
      </c>
      <c r="I120" s="10">
        <v>3</v>
      </c>
      <c r="J120" s="11" t="s">
        <v>14</v>
      </c>
      <c r="K120" s="12" t="s">
        <v>6</v>
      </c>
      <c r="L120" s="13" t="s">
        <v>7</v>
      </c>
      <c r="M120" s="316"/>
      <c r="N120" s="80">
        <v>66000000</v>
      </c>
      <c r="O120" s="22">
        <v>1</v>
      </c>
      <c r="P120" s="22">
        <f t="shared" si="8"/>
        <v>66000000</v>
      </c>
      <c r="Q120" s="16">
        <v>202602</v>
      </c>
      <c r="R120" s="16">
        <v>202603</v>
      </c>
      <c r="S120" s="16">
        <v>202604</v>
      </c>
      <c r="T120" s="10" t="s">
        <v>8</v>
      </c>
      <c r="U120" s="218">
        <f t="shared" si="9"/>
        <v>202604</v>
      </c>
      <c r="V120" s="79" t="str">
        <f t="shared" si="10"/>
        <v>IDR</v>
      </c>
      <c r="W120" s="80">
        <f t="shared" si="11"/>
        <v>66000000</v>
      </c>
      <c r="X120" s="279" t="str">
        <f t="shared" si="13"/>
        <v/>
      </c>
      <c r="Y120" s="280" t="str">
        <f t="shared" si="14"/>
        <v/>
      </c>
      <c r="Z120" s="281" t="str">
        <f t="shared" si="15"/>
        <v/>
      </c>
      <c r="AA120" s="279" t="str">
        <f t="shared" si="16"/>
        <v/>
      </c>
      <c r="AB120" s="280" t="str">
        <f t="shared" si="17"/>
        <v/>
      </c>
      <c r="AC120" s="281" t="str">
        <f t="shared" si="18"/>
        <v/>
      </c>
      <c r="AD120" s="221">
        <f t="shared" si="12"/>
        <v>202603</v>
      </c>
      <c r="AE120" s="118"/>
      <c r="AF120" s="338"/>
      <c r="AG120" s="21"/>
      <c r="AH120" s="21"/>
    </row>
    <row r="121" spans="1:34" s="82" customFormat="1" ht="36.75" hidden="1" thickBot="1">
      <c r="A121" s="197"/>
      <c r="B121" s="205"/>
      <c r="C121" s="159"/>
      <c r="D121" s="201"/>
      <c r="E121" s="148">
        <v>17</v>
      </c>
      <c r="F121" s="123" t="s">
        <v>175</v>
      </c>
      <c r="G121" s="8" t="s">
        <v>13</v>
      </c>
      <c r="H121" s="9" t="s">
        <v>5</v>
      </c>
      <c r="I121" s="10">
        <v>2</v>
      </c>
      <c r="J121" s="11" t="s">
        <v>14</v>
      </c>
      <c r="K121" s="12" t="s">
        <v>6</v>
      </c>
      <c r="L121" s="13" t="s">
        <v>7</v>
      </c>
      <c r="M121" s="316"/>
      <c r="N121" s="80">
        <v>44000000</v>
      </c>
      <c r="O121" s="22">
        <v>1</v>
      </c>
      <c r="P121" s="22">
        <f t="shared" si="8"/>
        <v>44000000</v>
      </c>
      <c r="Q121" s="16">
        <v>202603</v>
      </c>
      <c r="R121" s="16">
        <v>202604</v>
      </c>
      <c r="S121" s="16">
        <v>202605</v>
      </c>
      <c r="T121" s="10" t="s">
        <v>8</v>
      </c>
      <c r="U121" s="218">
        <f t="shared" si="9"/>
        <v>202605</v>
      </c>
      <c r="V121" s="79" t="str">
        <f t="shared" si="10"/>
        <v>IDR</v>
      </c>
      <c r="W121" s="80">
        <f t="shared" si="11"/>
        <v>44000000</v>
      </c>
      <c r="X121" s="279" t="str">
        <f t="shared" si="13"/>
        <v/>
      </c>
      <c r="Y121" s="280" t="str">
        <f t="shared" si="14"/>
        <v/>
      </c>
      <c r="Z121" s="281" t="str">
        <f t="shared" si="15"/>
        <v/>
      </c>
      <c r="AA121" s="279" t="str">
        <f t="shared" si="16"/>
        <v/>
      </c>
      <c r="AB121" s="280" t="str">
        <f t="shared" si="17"/>
        <v/>
      </c>
      <c r="AC121" s="281" t="str">
        <f t="shared" si="18"/>
        <v/>
      </c>
      <c r="AD121" s="221">
        <f t="shared" si="12"/>
        <v>202604</v>
      </c>
      <c r="AE121" s="118"/>
      <c r="AF121" s="338"/>
      <c r="AG121" s="21"/>
      <c r="AH121" s="21"/>
    </row>
    <row r="122" spans="1:34" s="82" customFormat="1" ht="12.75" hidden="1" thickBot="1">
      <c r="A122" s="197"/>
      <c r="B122" s="205"/>
      <c r="C122" s="159"/>
      <c r="D122" s="201"/>
      <c r="E122" s="282"/>
      <c r="F122" s="123"/>
      <c r="G122" s="8"/>
      <c r="H122" s="9"/>
      <c r="I122" s="10"/>
      <c r="J122" s="11"/>
      <c r="K122" s="12"/>
      <c r="L122" s="13"/>
      <c r="M122" s="316"/>
      <c r="N122" s="80"/>
      <c r="O122" s="22"/>
      <c r="P122" s="80"/>
      <c r="Q122" s="16"/>
      <c r="R122" s="2"/>
      <c r="S122" s="2"/>
      <c r="T122" s="122"/>
      <c r="U122" s="218"/>
      <c r="V122" s="79"/>
      <c r="W122" s="80"/>
      <c r="X122" s="279" t="str">
        <f t="shared" si="13"/>
        <v/>
      </c>
      <c r="Y122" s="280"/>
      <c r="Z122" s="281" t="str">
        <f t="shared" si="15"/>
        <v/>
      </c>
      <c r="AA122" s="279" t="str">
        <f t="shared" si="16"/>
        <v/>
      </c>
      <c r="AB122" s="280" t="str">
        <f t="shared" si="17"/>
        <v/>
      </c>
      <c r="AC122" s="281" t="str">
        <f t="shared" si="18"/>
        <v/>
      </c>
      <c r="AD122" s="221"/>
      <c r="AE122" s="118"/>
      <c r="AF122" s="338"/>
      <c r="AG122" s="21"/>
      <c r="AH122" s="21"/>
    </row>
    <row r="123" spans="1:34" s="82" customFormat="1" ht="12.75" hidden="1" thickBot="1">
      <c r="A123" s="197" t="s">
        <v>176</v>
      </c>
      <c r="B123" s="205" t="s">
        <v>177</v>
      </c>
      <c r="C123" s="120">
        <f>SUM(P123:P135)</f>
        <v>1113000000</v>
      </c>
      <c r="D123" s="210"/>
      <c r="E123" s="148">
        <v>1</v>
      </c>
      <c r="F123" s="7" t="s">
        <v>178</v>
      </c>
      <c r="G123" s="8" t="s">
        <v>13</v>
      </c>
      <c r="H123" s="9" t="s">
        <v>5</v>
      </c>
      <c r="I123" s="10">
        <v>2</v>
      </c>
      <c r="J123" s="11" t="s">
        <v>14</v>
      </c>
      <c r="K123" s="12" t="s">
        <v>6</v>
      </c>
      <c r="L123" s="13" t="s">
        <v>7</v>
      </c>
      <c r="M123" s="316"/>
      <c r="N123" s="80">
        <v>140000000</v>
      </c>
      <c r="O123" s="22">
        <v>1</v>
      </c>
      <c r="P123" s="22">
        <f t="shared" si="8"/>
        <v>140000000</v>
      </c>
      <c r="Q123" s="16">
        <v>202504</v>
      </c>
      <c r="R123" s="16">
        <v>202505</v>
      </c>
      <c r="S123" s="16">
        <v>202506</v>
      </c>
      <c r="T123" s="10" t="s">
        <v>8</v>
      </c>
      <c r="U123" s="218">
        <f t="shared" ref="U123:U135" si="19">IF(ISBLANK(Q123),"",IF(LEFT(T123,2)="一括",IF(T123="一括(検収時)",S123,R123),Q123))</f>
        <v>202506</v>
      </c>
      <c r="V123" s="79" t="str">
        <f>IF(ISBLANK(T123),"",L123)</f>
        <v>IDR</v>
      </c>
      <c r="W123" s="80">
        <f>P123</f>
        <v>140000000</v>
      </c>
      <c r="X123" s="279" t="str">
        <f>IF(LEFT(T128,2)="一括","",IF(T128="DP2(30/70%)",S128,IF(T128="DP3(30/40/30%)",R128,"")))</f>
        <v/>
      </c>
      <c r="Y123" s="280" t="str">
        <f>IF(LEFT(T128,2)="一括","",V128)</f>
        <v/>
      </c>
      <c r="Z123" s="281" t="str">
        <f>IF(ISBLANK(T128),"",IF(LEFT(T128,2)="一括","",IF(T128="DP2(30/70%)",0.7*N128,0.4*N128)))</f>
        <v/>
      </c>
      <c r="AA123" s="279" t="str">
        <f>IF(LEFT(T128,2)="一括","",IF(T128="DP2(30/70%)","",IF(T128="DP3(30/40/30%)",S128,"")))</f>
        <v/>
      </c>
      <c r="AB123" s="280" t="str">
        <f>IF(T128="DP3(30/40/30%)",L128,"")</f>
        <v/>
      </c>
      <c r="AC123" s="281" t="str">
        <f>IF(ISBLANK(T128),"",IF(T128="DP3(30/40/30%)",0.3*N128,""))</f>
        <v/>
      </c>
      <c r="AD123" s="221">
        <f t="shared" ref="AD123:AD135" si="20">R123</f>
        <v>202505</v>
      </c>
      <c r="AE123" s="118"/>
      <c r="AF123" s="338"/>
      <c r="AG123" s="21"/>
      <c r="AH123" s="21"/>
    </row>
    <row r="124" spans="1:34" s="82" customFormat="1" ht="12.75" hidden="1" thickBot="1">
      <c r="A124" s="197"/>
      <c r="B124" s="205"/>
      <c r="C124" s="120"/>
      <c r="D124" s="210"/>
      <c r="E124" s="148">
        <v>2</v>
      </c>
      <c r="F124" s="7" t="s">
        <v>179</v>
      </c>
      <c r="G124" s="8" t="s">
        <v>13</v>
      </c>
      <c r="H124" s="9" t="s">
        <v>5</v>
      </c>
      <c r="I124" s="10">
        <v>1</v>
      </c>
      <c r="J124" s="11" t="s">
        <v>14</v>
      </c>
      <c r="K124" s="12" t="s">
        <v>6</v>
      </c>
      <c r="L124" s="13" t="s">
        <v>7</v>
      </c>
      <c r="M124" s="316"/>
      <c r="N124" s="80">
        <v>10000000</v>
      </c>
      <c r="O124" s="22">
        <v>1</v>
      </c>
      <c r="P124" s="22">
        <f t="shared" si="8"/>
        <v>10000000</v>
      </c>
      <c r="Q124" s="16">
        <v>202505</v>
      </c>
      <c r="R124" s="16">
        <v>202506</v>
      </c>
      <c r="S124" s="16">
        <v>202507</v>
      </c>
      <c r="T124" s="10" t="s">
        <v>8</v>
      </c>
      <c r="U124" s="218">
        <f t="shared" si="19"/>
        <v>202507</v>
      </c>
      <c r="V124" s="79" t="s">
        <v>7</v>
      </c>
      <c r="W124" s="80">
        <v>25000000</v>
      </c>
      <c r="X124" s="279"/>
      <c r="Y124" s="280"/>
      <c r="Z124" s="281"/>
      <c r="AA124" s="279"/>
      <c r="AB124" s="280"/>
      <c r="AC124" s="281"/>
      <c r="AD124" s="221">
        <f t="shared" si="20"/>
        <v>202506</v>
      </c>
      <c r="AE124" s="118"/>
      <c r="AF124" s="338"/>
      <c r="AG124" s="21"/>
      <c r="AH124" s="21"/>
    </row>
    <row r="125" spans="1:34" s="21" customFormat="1" ht="14.45" hidden="1" customHeight="1">
      <c r="A125" s="197"/>
      <c r="B125" s="205"/>
      <c r="C125" s="120"/>
      <c r="D125" s="210"/>
      <c r="E125" s="148">
        <v>3</v>
      </c>
      <c r="F125" s="7" t="s">
        <v>180</v>
      </c>
      <c r="G125" s="8" t="s">
        <v>13</v>
      </c>
      <c r="H125" s="9" t="s">
        <v>5</v>
      </c>
      <c r="I125" s="10">
        <v>1</v>
      </c>
      <c r="J125" s="11" t="s">
        <v>14</v>
      </c>
      <c r="K125" s="12" t="s">
        <v>6</v>
      </c>
      <c r="L125" s="13" t="s">
        <v>7</v>
      </c>
      <c r="M125" s="316"/>
      <c r="N125" s="80">
        <v>199000000</v>
      </c>
      <c r="O125" s="22">
        <v>1</v>
      </c>
      <c r="P125" s="22">
        <f t="shared" si="8"/>
        <v>199000000</v>
      </c>
      <c r="Q125" s="16">
        <v>202505</v>
      </c>
      <c r="R125" s="16">
        <v>202506</v>
      </c>
      <c r="S125" s="16">
        <v>202507</v>
      </c>
      <c r="T125" s="122" t="s">
        <v>8</v>
      </c>
      <c r="U125" s="218">
        <f t="shared" si="19"/>
        <v>202507</v>
      </c>
      <c r="V125" s="79" t="s">
        <v>7</v>
      </c>
      <c r="W125" s="80">
        <f t="shared" ref="W125:W135" si="21">P125</f>
        <v>199000000</v>
      </c>
      <c r="X125" s="78"/>
      <c r="Y125" s="79"/>
      <c r="Z125" s="80"/>
      <c r="AA125" s="78"/>
      <c r="AB125" s="79"/>
      <c r="AC125" s="80"/>
      <c r="AD125" s="221">
        <f t="shared" si="20"/>
        <v>202506</v>
      </c>
      <c r="AE125" s="105"/>
      <c r="AF125" s="337"/>
    </row>
    <row r="126" spans="1:34" s="21" customFormat="1" ht="14.45" hidden="1" customHeight="1">
      <c r="A126" s="197"/>
      <c r="B126" s="205"/>
      <c r="C126" s="120"/>
      <c r="D126" s="210"/>
      <c r="E126" s="148">
        <v>4</v>
      </c>
      <c r="F126" s="7" t="s">
        <v>181</v>
      </c>
      <c r="G126" s="8" t="s">
        <v>13</v>
      </c>
      <c r="H126" s="9" t="s">
        <v>5</v>
      </c>
      <c r="I126" s="10">
        <v>1</v>
      </c>
      <c r="J126" s="11" t="s">
        <v>14</v>
      </c>
      <c r="K126" s="12" t="s">
        <v>6</v>
      </c>
      <c r="L126" s="13" t="s">
        <v>7</v>
      </c>
      <c r="M126" s="316"/>
      <c r="N126" s="80">
        <v>150000000</v>
      </c>
      <c r="O126" s="22">
        <v>1</v>
      </c>
      <c r="P126" s="22">
        <f t="shared" si="8"/>
        <v>150000000</v>
      </c>
      <c r="Q126" s="16">
        <v>202506</v>
      </c>
      <c r="R126" s="16">
        <v>202507</v>
      </c>
      <c r="S126" s="16">
        <v>202508</v>
      </c>
      <c r="T126" s="122" t="s">
        <v>8</v>
      </c>
      <c r="U126" s="218">
        <f t="shared" si="19"/>
        <v>202508</v>
      </c>
      <c r="V126" s="79" t="s">
        <v>7</v>
      </c>
      <c r="W126" s="80">
        <f t="shared" si="21"/>
        <v>150000000</v>
      </c>
      <c r="X126" s="78"/>
      <c r="Y126" s="79"/>
      <c r="Z126" s="80"/>
      <c r="AA126" s="78"/>
      <c r="AB126" s="79"/>
      <c r="AC126" s="80"/>
      <c r="AD126" s="221">
        <f t="shared" si="20"/>
        <v>202507</v>
      </c>
      <c r="AE126" s="105"/>
      <c r="AF126" s="337"/>
    </row>
    <row r="127" spans="1:34" s="82" customFormat="1" ht="42" hidden="1" customHeight="1">
      <c r="A127" s="197"/>
      <c r="B127" s="205"/>
      <c r="C127" s="159"/>
      <c r="D127" s="201"/>
      <c r="E127" s="148">
        <v>5</v>
      </c>
      <c r="F127" s="123" t="s">
        <v>182</v>
      </c>
      <c r="G127" s="8" t="s">
        <v>13</v>
      </c>
      <c r="H127" s="9" t="s">
        <v>5</v>
      </c>
      <c r="I127" s="10">
        <v>2</v>
      </c>
      <c r="J127" s="11" t="s">
        <v>14</v>
      </c>
      <c r="K127" s="12" t="s">
        <v>6</v>
      </c>
      <c r="L127" s="13" t="s">
        <v>7</v>
      </c>
      <c r="M127" s="316"/>
      <c r="N127" s="80">
        <v>160000000</v>
      </c>
      <c r="O127" s="22">
        <v>1</v>
      </c>
      <c r="P127" s="22">
        <f t="shared" si="8"/>
        <v>160000000</v>
      </c>
      <c r="Q127" s="16">
        <v>202507</v>
      </c>
      <c r="R127" s="16">
        <v>202508</v>
      </c>
      <c r="S127" s="16">
        <v>202509</v>
      </c>
      <c r="T127" s="10" t="s">
        <v>8</v>
      </c>
      <c r="U127" s="218">
        <f t="shared" si="19"/>
        <v>202509</v>
      </c>
      <c r="V127" s="79" t="s">
        <v>7</v>
      </c>
      <c r="W127" s="80">
        <f t="shared" si="21"/>
        <v>160000000</v>
      </c>
      <c r="X127" s="279"/>
      <c r="Y127" s="280"/>
      <c r="Z127" s="281"/>
      <c r="AA127" s="279"/>
      <c r="AB127" s="280"/>
      <c r="AC127" s="281"/>
      <c r="AD127" s="221">
        <f t="shared" si="20"/>
        <v>202508</v>
      </c>
      <c r="AE127" s="118"/>
      <c r="AF127" s="338"/>
      <c r="AG127" s="21"/>
      <c r="AH127" s="21"/>
    </row>
    <row r="128" spans="1:34" s="82" customFormat="1" ht="36.75" hidden="1" thickBot="1">
      <c r="A128" s="197"/>
      <c r="B128" s="205"/>
      <c r="C128" s="159"/>
      <c r="D128" s="201"/>
      <c r="E128" s="148">
        <v>6</v>
      </c>
      <c r="F128" s="123" t="s">
        <v>183</v>
      </c>
      <c r="G128" s="8" t="s">
        <v>13</v>
      </c>
      <c r="H128" s="9" t="s">
        <v>5</v>
      </c>
      <c r="I128" s="10">
        <v>2</v>
      </c>
      <c r="J128" s="11" t="s">
        <v>14</v>
      </c>
      <c r="K128" s="12" t="s">
        <v>6</v>
      </c>
      <c r="L128" s="13" t="s">
        <v>7</v>
      </c>
      <c r="M128" s="316"/>
      <c r="N128" s="80">
        <v>160000000</v>
      </c>
      <c r="O128" s="22">
        <v>1</v>
      </c>
      <c r="P128" s="22">
        <f t="shared" si="8"/>
        <v>160000000</v>
      </c>
      <c r="Q128" s="16">
        <v>202508</v>
      </c>
      <c r="R128" s="16">
        <v>202509</v>
      </c>
      <c r="S128" s="16">
        <v>202510</v>
      </c>
      <c r="T128" s="10" t="s">
        <v>8</v>
      </c>
      <c r="U128" s="218">
        <f t="shared" si="19"/>
        <v>202510</v>
      </c>
      <c r="V128" s="79" t="s">
        <v>7</v>
      </c>
      <c r="W128" s="80">
        <f t="shared" si="21"/>
        <v>160000000</v>
      </c>
      <c r="X128" s="279" t="str">
        <f>IF(LEFT(T127,2)="一括","",IF(T127="DP2(30/70%)",S127,IF(T127="DP3(30/40/30%)",R127,"")))</f>
        <v/>
      </c>
      <c r="Y128" s="280" t="str">
        <f>IF(LEFT(T127,2)="一括","",V127)</f>
        <v/>
      </c>
      <c r="Z128" s="281" t="str">
        <f>IF(ISBLANK(T127),"",IF(LEFT(T127,2)="一括","",IF(T127="DP2(30/70%)",0.7*N127,0.4*N127)))</f>
        <v/>
      </c>
      <c r="AA128" s="279" t="str">
        <f>IF(LEFT(T127,2)="一括","",IF(T127="DP2(30/70%)","",IF(T127="DP3(30/40/30%)",S127,"")))</f>
        <v/>
      </c>
      <c r="AB128" s="280" t="str">
        <f>IF(T127="DP3(30/40/30%)",L127,"")</f>
        <v/>
      </c>
      <c r="AC128" s="281" t="str">
        <f>IF(ISBLANK(T127),"",IF(T127="DP3(30/40/30%)",0.3*N127,""))</f>
        <v/>
      </c>
      <c r="AD128" s="221">
        <f t="shared" si="20"/>
        <v>202509</v>
      </c>
      <c r="AE128" s="118"/>
      <c r="AF128" s="338"/>
      <c r="AG128" s="21"/>
      <c r="AH128" s="21"/>
    </row>
    <row r="129" spans="1:34" s="82" customFormat="1" ht="36.75" hidden="1" thickBot="1">
      <c r="A129" s="197"/>
      <c r="B129" s="205"/>
      <c r="C129" s="159"/>
      <c r="D129" s="201"/>
      <c r="E129" s="148">
        <v>7</v>
      </c>
      <c r="F129" s="123" t="s">
        <v>184</v>
      </c>
      <c r="G129" s="8" t="s">
        <v>13</v>
      </c>
      <c r="H129" s="9" t="s">
        <v>5</v>
      </c>
      <c r="I129" s="10">
        <v>2</v>
      </c>
      <c r="J129" s="11" t="s">
        <v>14</v>
      </c>
      <c r="K129" s="12" t="s">
        <v>6</v>
      </c>
      <c r="L129" s="13" t="s">
        <v>7</v>
      </c>
      <c r="M129" s="316"/>
      <c r="N129" s="80">
        <v>42000000</v>
      </c>
      <c r="O129" s="22">
        <v>1</v>
      </c>
      <c r="P129" s="22">
        <f t="shared" si="8"/>
        <v>42000000</v>
      </c>
      <c r="Q129" s="16">
        <v>202509</v>
      </c>
      <c r="R129" s="16">
        <v>202510</v>
      </c>
      <c r="S129" s="16">
        <v>202511</v>
      </c>
      <c r="T129" s="10" t="s">
        <v>8</v>
      </c>
      <c r="U129" s="218">
        <f t="shared" si="19"/>
        <v>202511</v>
      </c>
      <c r="V129" s="79" t="s">
        <v>7</v>
      </c>
      <c r="W129" s="80">
        <f t="shared" si="21"/>
        <v>42000000</v>
      </c>
      <c r="X129" s="279"/>
      <c r="Y129" s="280"/>
      <c r="Z129" s="281"/>
      <c r="AA129" s="279"/>
      <c r="AB129" s="280"/>
      <c r="AC129" s="281"/>
      <c r="AD129" s="221">
        <f t="shared" si="20"/>
        <v>202510</v>
      </c>
      <c r="AE129" s="118"/>
      <c r="AF129" s="338"/>
      <c r="AG129" s="21"/>
      <c r="AH129" s="21"/>
    </row>
    <row r="130" spans="1:34" s="82" customFormat="1" ht="36.75" hidden="1" thickBot="1">
      <c r="A130" s="197"/>
      <c r="B130" s="205"/>
      <c r="C130" s="159"/>
      <c r="D130" s="201"/>
      <c r="E130" s="148">
        <v>8</v>
      </c>
      <c r="F130" s="123" t="s">
        <v>185</v>
      </c>
      <c r="G130" s="8" t="s">
        <v>13</v>
      </c>
      <c r="H130" s="9" t="s">
        <v>5</v>
      </c>
      <c r="I130" s="10">
        <v>2</v>
      </c>
      <c r="J130" s="11" t="s">
        <v>14</v>
      </c>
      <c r="K130" s="12" t="s">
        <v>6</v>
      </c>
      <c r="L130" s="13" t="s">
        <v>7</v>
      </c>
      <c r="M130" s="316"/>
      <c r="N130" s="80">
        <v>42000000</v>
      </c>
      <c r="O130" s="22">
        <v>1</v>
      </c>
      <c r="P130" s="22">
        <f t="shared" si="8"/>
        <v>42000000</v>
      </c>
      <c r="Q130" s="16">
        <v>202510</v>
      </c>
      <c r="R130" s="16">
        <v>202511</v>
      </c>
      <c r="S130" s="16">
        <v>202512</v>
      </c>
      <c r="T130" s="10" t="s">
        <v>8</v>
      </c>
      <c r="U130" s="218">
        <f t="shared" si="19"/>
        <v>202512</v>
      </c>
      <c r="V130" s="79" t="s">
        <v>7</v>
      </c>
      <c r="W130" s="80">
        <f t="shared" si="21"/>
        <v>42000000</v>
      </c>
      <c r="X130" s="279"/>
      <c r="Y130" s="280"/>
      <c r="Z130" s="281"/>
      <c r="AA130" s="279"/>
      <c r="AB130" s="280"/>
      <c r="AC130" s="281"/>
      <c r="AD130" s="221">
        <f t="shared" si="20"/>
        <v>202511</v>
      </c>
      <c r="AE130" s="118"/>
      <c r="AF130" s="338"/>
      <c r="AG130" s="21"/>
      <c r="AH130" s="21"/>
    </row>
    <row r="131" spans="1:34" s="82" customFormat="1" ht="36.75" hidden="1" thickBot="1">
      <c r="A131" s="197"/>
      <c r="B131" s="166"/>
      <c r="C131" s="159"/>
      <c r="D131" s="201"/>
      <c r="E131" s="148">
        <v>9</v>
      </c>
      <c r="F131" s="123" t="s">
        <v>186</v>
      </c>
      <c r="G131" s="8" t="s">
        <v>13</v>
      </c>
      <c r="H131" s="9" t="s">
        <v>5</v>
      </c>
      <c r="I131" s="10">
        <v>2</v>
      </c>
      <c r="J131" s="11" t="s">
        <v>14</v>
      </c>
      <c r="K131" s="12" t="s">
        <v>6</v>
      </c>
      <c r="L131" s="13" t="s">
        <v>7</v>
      </c>
      <c r="M131" s="316"/>
      <c r="N131" s="80">
        <v>42000000</v>
      </c>
      <c r="O131" s="22">
        <v>1</v>
      </c>
      <c r="P131" s="22">
        <f t="shared" si="8"/>
        <v>42000000</v>
      </c>
      <c r="Q131" s="16">
        <v>202511</v>
      </c>
      <c r="R131" s="16">
        <v>202512</v>
      </c>
      <c r="S131" s="16">
        <v>202601</v>
      </c>
      <c r="T131" s="10" t="s">
        <v>8</v>
      </c>
      <c r="U131" s="218">
        <f t="shared" si="19"/>
        <v>202601</v>
      </c>
      <c r="V131" s="79" t="s">
        <v>7</v>
      </c>
      <c r="W131" s="80">
        <f t="shared" si="21"/>
        <v>42000000</v>
      </c>
      <c r="X131" s="279"/>
      <c r="Y131" s="280"/>
      <c r="Z131" s="281"/>
      <c r="AA131" s="279"/>
      <c r="AB131" s="280"/>
      <c r="AC131" s="281"/>
      <c r="AD131" s="221">
        <f t="shared" si="20"/>
        <v>202512</v>
      </c>
      <c r="AE131" s="118"/>
      <c r="AF131" s="338"/>
      <c r="AG131" s="21"/>
      <c r="AH131" s="21"/>
    </row>
    <row r="132" spans="1:34" s="82" customFormat="1" ht="36.75" hidden="1" thickBot="1">
      <c r="A132" s="197"/>
      <c r="B132" s="166"/>
      <c r="C132" s="159"/>
      <c r="D132" s="201"/>
      <c r="E132" s="148">
        <v>10</v>
      </c>
      <c r="F132" s="123" t="s">
        <v>187</v>
      </c>
      <c r="G132" s="8" t="s">
        <v>13</v>
      </c>
      <c r="H132" s="9" t="s">
        <v>5</v>
      </c>
      <c r="I132" s="10">
        <v>2</v>
      </c>
      <c r="J132" s="11" t="s">
        <v>14</v>
      </c>
      <c r="K132" s="12" t="s">
        <v>6</v>
      </c>
      <c r="L132" s="13" t="s">
        <v>7</v>
      </c>
      <c r="M132" s="316"/>
      <c r="N132" s="80">
        <v>42000000</v>
      </c>
      <c r="O132" s="22">
        <v>1</v>
      </c>
      <c r="P132" s="22">
        <f t="shared" si="8"/>
        <v>42000000</v>
      </c>
      <c r="Q132" s="16">
        <v>202512</v>
      </c>
      <c r="R132" s="16">
        <v>202601</v>
      </c>
      <c r="S132" s="16">
        <v>202602</v>
      </c>
      <c r="T132" s="10" t="s">
        <v>8</v>
      </c>
      <c r="U132" s="218">
        <f t="shared" si="19"/>
        <v>202602</v>
      </c>
      <c r="V132" s="79" t="s">
        <v>7</v>
      </c>
      <c r="W132" s="80">
        <f t="shared" si="21"/>
        <v>42000000</v>
      </c>
      <c r="X132" s="279"/>
      <c r="Y132" s="280"/>
      <c r="Z132" s="281"/>
      <c r="AA132" s="279"/>
      <c r="AB132" s="280"/>
      <c r="AC132" s="281"/>
      <c r="AD132" s="221">
        <f t="shared" si="20"/>
        <v>202601</v>
      </c>
      <c r="AE132" s="118"/>
      <c r="AF132" s="338"/>
      <c r="AG132" s="21"/>
      <c r="AH132" s="21"/>
    </row>
    <row r="133" spans="1:34" s="82" customFormat="1" ht="36.75" hidden="1" thickBot="1">
      <c r="A133" s="197"/>
      <c r="B133" s="166"/>
      <c r="C133" s="159"/>
      <c r="D133" s="201"/>
      <c r="E133" s="148">
        <v>11</v>
      </c>
      <c r="F133" s="123" t="s">
        <v>188</v>
      </c>
      <c r="G133" s="8" t="s">
        <v>13</v>
      </c>
      <c r="H133" s="9" t="s">
        <v>5</v>
      </c>
      <c r="I133" s="10">
        <v>2</v>
      </c>
      <c r="J133" s="11" t="s">
        <v>14</v>
      </c>
      <c r="K133" s="12" t="s">
        <v>6</v>
      </c>
      <c r="L133" s="13" t="s">
        <v>7</v>
      </c>
      <c r="M133" s="316"/>
      <c r="N133" s="80">
        <v>42000000</v>
      </c>
      <c r="O133" s="22">
        <v>1</v>
      </c>
      <c r="P133" s="22">
        <f t="shared" si="8"/>
        <v>42000000</v>
      </c>
      <c r="Q133" s="16">
        <v>202601</v>
      </c>
      <c r="R133" s="16">
        <v>202602</v>
      </c>
      <c r="S133" s="16">
        <v>202603</v>
      </c>
      <c r="T133" s="10" t="s">
        <v>8</v>
      </c>
      <c r="U133" s="218">
        <f t="shared" si="19"/>
        <v>202603</v>
      </c>
      <c r="V133" s="79" t="s">
        <v>7</v>
      </c>
      <c r="W133" s="80">
        <f t="shared" si="21"/>
        <v>42000000</v>
      </c>
      <c r="X133" s="279"/>
      <c r="Y133" s="280"/>
      <c r="Z133" s="281"/>
      <c r="AA133" s="279"/>
      <c r="AB133" s="280"/>
      <c r="AC133" s="281"/>
      <c r="AD133" s="221">
        <f t="shared" si="20"/>
        <v>202602</v>
      </c>
      <c r="AE133" s="118"/>
      <c r="AF133" s="338"/>
      <c r="AG133" s="21"/>
      <c r="AH133" s="21"/>
    </row>
    <row r="134" spans="1:34" s="82" customFormat="1" ht="36.75" hidden="1" thickBot="1">
      <c r="A134" s="197"/>
      <c r="B134" s="166"/>
      <c r="C134" s="159"/>
      <c r="D134" s="201"/>
      <c r="E134" s="148">
        <v>12</v>
      </c>
      <c r="F134" s="123" t="s">
        <v>189</v>
      </c>
      <c r="G134" s="8" t="s">
        <v>13</v>
      </c>
      <c r="H134" s="9" t="s">
        <v>5</v>
      </c>
      <c r="I134" s="10">
        <v>2</v>
      </c>
      <c r="J134" s="11" t="s">
        <v>14</v>
      </c>
      <c r="K134" s="12" t="s">
        <v>6</v>
      </c>
      <c r="L134" s="13" t="s">
        <v>7</v>
      </c>
      <c r="M134" s="316"/>
      <c r="N134" s="80">
        <v>42000000</v>
      </c>
      <c r="O134" s="22">
        <v>1</v>
      </c>
      <c r="P134" s="22">
        <f t="shared" si="8"/>
        <v>42000000</v>
      </c>
      <c r="Q134" s="16">
        <v>202602</v>
      </c>
      <c r="R134" s="16">
        <v>202603</v>
      </c>
      <c r="S134" s="16">
        <v>202604</v>
      </c>
      <c r="T134" s="10" t="s">
        <v>8</v>
      </c>
      <c r="U134" s="218">
        <f t="shared" si="19"/>
        <v>202604</v>
      </c>
      <c r="V134" s="79" t="s">
        <v>7</v>
      </c>
      <c r="W134" s="80">
        <f t="shared" si="21"/>
        <v>42000000</v>
      </c>
      <c r="X134" s="279"/>
      <c r="Y134" s="280"/>
      <c r="Z134" s="281"/>
      <c r="AA134" s="279"/>
      <c r="AB134" s="280"/>
      <c r="AC134" s="281"/>
      <c r="AD134" s="221">
        <f t="shared" si="20"/>
        <v>202603</v>
      </c>
      <c r="AE134" s="118"/>
      <c r="AF134" s="338"/>
      <c r="AG134" s="21"/>
      <c r="AH134" s="21"/>
    </row>
    <row r="135" spans="1:34" s="82" customFormat="1" ht="36.75" hidden="1" thickBot="1">
      <c r="A135" s="197"/>
      <c r="B135" s="166"/>
      <c r="C135" s="159"/>
      <c r="D135" s="201"/>
      <c r="E135" s="148">
        <v>13</v>
      </c>
      <c r="F135" s="123" t="s">
        <v>190</v>
      </c>
      <c r="G135" s="8" t="s">
        <v>13</v>
      </c>
      <c r="H135" s="9" t="s">
        <v>5</v>
      </c>
      <c r="I135" s="10">
        <v>2</v>
      </c>
      <c r="J135" s="11" t="s">
        <v>14</v>
      </c>
      <c r="K135" s="12" t="s">
        <v>6</v>
      </c>
      <c r="L135" s="13" t="s">
        <v>7</v>
      </c>
      <c r="M135" s="316"/>
      <c r="N135" s="80">
        <v>42000000</v>
      </c>
      <c r="O135" s="22">
        <v>1</v>
      </c>
      <c r="P135" s="22">
        <f t="shared" si="8"/>
        <v>42000000</v>
      </c>
      <c r="Q135" s="16">
        <v>202603</v>
      </c>
      <c r="R135" s="16">
        <v>202604</v>
      </c>
      <c r="S135" s="16">
        <v>202605</v>
      </c>
      <c r="T135" s="10" t="s">
        <v>8</v>
      </c>
      <c r="U135" s="218">
        <f t="shared" si="19"/>
        <v>202605</v>
      </c>
      <c r="V135" s="79" t="s">
        <v>7</v>
      </c>
      <c r="W135" s="80">
        <f t="shared" si="21"/>
        <v>42000000</v>
      </c>
      <c r="X135" s="279"/>
      <c r="Y135" s="280"/>
      <c r="Z135" s="281"/>
      <c r="AA135" s="279"/>
      <c r="AB135" s="280"/>
      <c r="AC135" s="281"/>
      <c r="AD135" s="221">
        <f t="shared" si="20"/>
        <v>202604</v>
      </c>
      <c r="AE135" s="118"/>
      <c r="AF135" s="338"/>
      <c r="AG135" s="21"/>
      <c r="AH135" s="21"/>
    </row>
    <row r="136" spans="1:34" s="82" customFormat="1" ht="12.75" hidden="1" thickBot="1">
      <c r="A136" s="197"/>
      <c r="B136" s="166"/>
      <c r="C136" s="159"/>
      <c r="D136" s="201"/>
      <c r="E136" s="282"/>
      <c r="F136" s="123"/>
      <c r="G136" s="8"/>
      <c r="H136" s="9"/>
      <c r="I136" s="10"/>
      <c r="J136" s="11"/>
      <c r="K136" s="12"/>
      <c r="L136" s="13"/>
      <c r="M136" s="13"/>
      <c r="N136" s="14"/>
      <c r="O136" s="22"/>
      <c r="P136" s="80"/>
      <c r="Q136" s="16"/>
      <c r="R136" s="2"/>
      <c r="S136" s="2"/>
      <c r="T136" s="10"/>
      <c r="U136" s="218"/>
      <c r="V136" s="79"/>
      <c r="W136" s="80"/>
      <c r="X136" s="279"/>
      <c r="Y136" s="280"/>
      <c r="Z136" s="281"/>
      <c r="AA136" s="279"/>
      <c r="AB136" s="280"/>
      <c r="AC136" s="281"/>
      <c r="AD136" s="221"/>
      <c r="AE136" s="118"/>
      <c r="AF136" s="338"/>
      <c r="AG136" s="21"/>
      <c r="AH136" s="21"/>
    </row>
    <row r="137" spans="1:34" s="21" customFormat="1" ht="14.45" hidden="1" customHeight="1">
      <c r="A137" s="197" t="s">
        <v>191</v>
      </c>
      <c r="B137" s="205" t="s">
        <v>192</v>
      </c>
      <c r="C137" s="120">
        <f>SUM(P137:P142)</f>
        <v>644000000</v>
      </c>
      <c r="D137" s="210"/>
      <c r="E137" s="148">
        <v>1</v>
      </c>
      <c r="F137" s="7" t="s">
        <v>193</v>
      </c>
      <c r="G137" s="8" t="s">
        <v>13</v>
      </c>
      <c r="H137" s="9" t="s">
        <v>5</v>
      </c>
      <c r="I137" s="10">
        <v>2</v>
      </c>
      <c r="J137" s="11" t="s">
        <v>14</v>
      </c>
      <c r="K137" s="12" t="s">
        <v>6</v>
      </c>
      <c r="L137" s="13" t="s">
        <v>7</v>
      </c>
      <c r="M137" s="316"/>
      <c r="N137" s="80">
        <v>150000000</v>
      </c>
      <c r="O137" s="22">
        <v>1</v>
      </c>
      <c r="P137" s="22">
        <f t="shared" si="8"/>
        <v>150000000</v>
      </c>
      <c r="Q137" s="16">
        <v>202508</v>
      </c>
      <c r="R137" s="16">
        <v>202509</v>
      </c>
      <c r="S137" s="16">
        <v>202510</v>
      </c>
      <c r="T137" s="10" t="s">
        <v>8</v>
      </c>
      <c r="U137" s="218">
        <f t="shared" ref="U137:U142" si="22">IF(ISBLANK(Q137),"",IF(LEFT(T137,2)="一括",IF(T137="一括(検収時)",S137,R137),Q137))</f>
        <v>202510</v>
      </c>
      <c r="V137" s="79" t="str">
        <f>IF(ISBLANK(T137),"",L137)</f>
        <v>IDR</v>
      </c>
      <c r="W137" s="80">
        <f t="shared" ref="W137:W142" si="23">P137</f>
        <v>150000000</v>
      </c>
      <c r="X137" s="78"/>
      <c r="Y137" s="79"/>
      <c r="Z137" s="80"/>
      <c r="AA137" s="78"/>
      <c r="AB137" s="79"/>
      <c r="AC137" s="80"/>
      <c r="AD137" s="221">
        <f t="shared" ref="AD137:AD142" si="24">R137</f>
        <v>202509</v>
      </c>
      <c r="AE137" s="105"/>
      <c r="AF137" s="337"/>
    </row>
    <row r="138" spans="1:34" s="21" customFormat="1" ht="14.45" hidden="1" customHeight="1">
      <c r="A138" s="197"/>
      <c r="B138" s="205"/>
      <c r="C138" s="120"/>
      <c r="D138" s="210"/>
      <c r="E138" s="148">
        <v>2</v>
      </c>
      <c r="F138" s="7" t="s">
        <v>194</v>
      </c>
      <c r="G138" s="8" t="s">
        <v>13</v>
      </c>
      <c r="H138" s="9" t="s">
        <v>5</v>
      </c>
      <c r="I138" s="10">
        <v>1</v>
      </c>
      <c r="J138" s="11" t="s">
        <v>14</v>
      </c>
      <c r="K138" s="12" t="s">
        <v>6</v>
      </c>
      <c r="L138" s="13" t="s">
        <v>7</v>
      </c>
      <c r="M138" s="316"/>
      <c r="N138" s="80">
        <v>150000000</v>
      </c>
      <c r="O138" s="22">
        <v>1</v>
      </c>
      <c r="P138" s="22">
        <f t="shared" si="8"/>
        <v>150000000</v>
      </c>
      <c r="Q138" s="16">
        <v>202508</v>
      </c>
      <c r="R138" s="16">
        <v>202509</v>
      </c>
      <c r="S138" s="16">
        <v>202510</v>
      </c>
      <c r="T138" s="10" t="s">
        <v>8</v>
      </c>
      <c r="U138" s="218">
        <f t="shared" si="22"/>
        <v>202510</v>
      </c>
      <c r="V138" s="79" t="str">
        <f>IF(ISBLANK(T138),"",L138)</f>
        <v>IDR</v>
      </c>
      <c r="W138" s="80">
        <f t="shared" si="23"/>
        <v>150000000</v>
      </c>
      <c r="X138" s="78"/>
      <c r="Y138" s="79"/>
      <c r="Z138" s="80"/>
      <c r="AA138" s="78"/>
      <c r="AB138" s="79"/>
      <c r="AC138" s="80"/>
      <c r="AD138" s="221">
        <f t="shared" si="24"/>
        <v>202509</v>
      </c>
      <c r="AE138" s="105"/>
      <c r="AF138" s="337"/>
    </row>
    <row r="139" spans="1:34" s="21" customFormat="1" ht="12.75" hidden="1" thickBot="1">
      <c r="A139" s="197"/>
      <c r="B139" s="205"/>
      <c r="C139" s="120"/>
      <c r="D139" s="210"/>
      <c r="E139" s="148">
        <v>3</v>
      </c>
      <c r="F139" s="7" t="s">
        <v>195</v>
      </c>
      <c r="G139" s="8" t="s">
        <v>13</v>
      </c>
      <c r="H139" s="9" t="s">
        <v>5</v>
      </c>
      <c r="I139" s="10">
        <v>4</v>
      </c>
      <c r="J139" s="11" t="s">
        <v>14</v>
      </c>
      <c r="K139" s="12" t="s">
        <v>6</v>
      </c>
      <c r="L139" s="13" t="s">
        <v>7</v>
      </c>
      <c r="M139" s="316"/>
      <c r="N139" s="80">
        <v>200000000</v>
      </c>
      <c r="O139" s="22">
        <v>1</v>
      </c>
      <c r="P139" s="22">
        <f t="shared" si="8"/>
        <v>200000000</v>
      </c>
      <c r="Q139" s="16">
        <v>202508</v>
      </c>
      <c r="R139" s="16">
        <v>202509</v>
      </c>
      <c r="S139" s="16">
        <v>202510</v>
      </c>
      <c r="T139" s="10" t="s">
        <v>8</v>
      </c>
      <c r="U139" s="218">
        <f t="shared" si="22"/>
        <v>202510</v>
      </c>
      <c r="V139" s="79" t="s">
        <v>7</v>
      </c>
      <c r="W139" s="80">
        <f t="shared" si="23"/>
        <v>200000000</v>
      </c>
      <c r="X139" s="78"/>
      <c r="Y139" s="79"/>
      <c r="Z139" s="80"/>
      <c r="AA139" s="78"/>
      <c r="AB139" s="79"/>
      <c r="AC139" s="80"/>
      <c r="AD139" s="221">
        <f t="shared" si="24"/>
        <v>202509</v>
      </c>
      <c r="AE139" s="105"/>
      <c r="AF139" s="337"/>
    </row>
    <row r="140" spans="1:34" s="21" customFormat="1" ht="14.45" hidden="1" customHeight="1">
      <c r="A140" s="197"/>
      <c r="B140" s="205"/>
      <c r="C140" s="120"/>
      <c r="D140" s="210"/>
      <c r="E140" s="148">
        <v>4</v>
      </c>
      <c r="F140" s="7" t="s">
        <v>196</v>
      </c>
      <c r="G140" s="8" t="s">
        <v>13</v>
      </c>
      <c r="H140" s="9" t="s">
        <v>5</v>
      </c>
      <c r="I140" s="10">
        <v>8</v>
      </c>
      <c r="J140" s="11" t="s">
        <v>14</v>
      </c>
      <c r="K140" s="12" t="s">
        <v>6</v>
      </c>
      <c r="L140" s="13" t="s">
        <v>7</v>
      </c>
      <c r="M140" s="316"/>
      <c r="N140" s="80">
        <v>144000000</v>
      </c>
      <c r="O140" s="22">
        <v>1</v>
      </c>
      <c r="P140" s="22">
        <f t="shared" si="8"/>
        <v>144000000</v>
      </c>
      <c r="Q140" s="16">
        <v>202508</v>
      </c>
      <c r="R140" s="16">
        <v>202510</v>
      </c>
      <c r="S140" s="16">
        <v>202511</v>
      </c>
      <c r="T140" s="10" t="s">
        <v>8</v>
      </c>
      <c r="U140" s="218">
        <f t="shared" si="22"/>
        <v>202511</v>
      </c>
      <c r="V140" s="79" t="str">
        <f>IF(ISBLANK(T140),"",L140)</f>
        <v>IDR</v>
      </c>
      <c r="W140" s="80">
        <f t="shared" si="23"/>
        <v>144000000</v>
      </c>
      <c r="X140" s="78"/>
      <c r="Y140" s="79"/>
      <c r="Z140" s="80"/>
      <c r="AA140" s="78"/>
      <c r="AB140" s="79"/>
      <c r="AC140" s="80"/>
      <c r="AD140" s="221">
        <f t="shared" si="24"/>
        <v>202510</v>
      </c>
      <c r="AE140" s="105"/>
      <c r="AF140" s="337"/>
    </row>
    <row r="141" spans="1:34" s="21" customFormat="1" ht="14.45" hidden="1" customHeight="1">
      <c r="A141" s="197"/>
      <c r="B141" s="205"/>
      <c r="C141" s="120"/>
      <c r="D141" s="210"/>
      <c r="E141" s="148">
        <v>5</v>
      </c>
      <c r="F141" s="7" t="s">
        <v>197</v>
      </c>
      <c r="G141" s="8" t="s">
        <v>13</v>
      </c>
      <c r="H141" s="9" t="s">
        <v>5</v>
      </c>
      <c r="I141" s="10">
        <v>1</v>
      </c>
      <c r="J141" s="11" t="s">
        <v>14</v>
      </c>
      <c r="K141" s="12" t="s">
        <v>6</v>
      </c>
      <c r="L141" s="13" t="s">
        <v>7</v>
      </c>
      <c r="M141" s="316"/>
      <c r="N141" s="80">
        <v>0</v>
      </c>
      <c r="O141" s="22">
        <v>1</v>
      </c>
      <c r="P141" s="22">
        <f t="shared" si="8"/>
        <v>0</v>
      </c>
      <c r="Q141" s="16">
        <v>202508</v>
      </c>
      <c r="R141" s="16">
        <v>202510</v>
      </c>
      <c r="S141" s="16">
        <v>202511</v>
      </c>
      <c r="T141" s="10" t="s">
        <v>8</v>
      </c>
      <c r="U141" s="218">
        <f t="shared" si="22"/>
        <v>202511</v>
      </c>
      <c r="V141" s="79" t="str">
        <f>IF(ISBLANK(T141),"",L141)</f>
        <v>IDR</v>
      </c>
      <c r="W141" s="80">
        <f t="shared" si="23"/>
        <v>0</v>
      </c>
      <c r="X141" s="78"/>
      <c r="Y141" s="79"/>
      <c r="Z141" s="80"/>
      <c r="AA141" s="78"/>
      <c r="AB141" s="79"/>
      <c r="AC141" s="80"/>
      <c r="AD141" s="221">
        <f t="shared" si="24"/>
        <v>202510</v>
      </c>
      <c r="AE141" s="105"/>
      <c r="AF141" s="337"/>
    </row>
    <row r="142" spans="1:34" s="21" customFormat="1" ht="14.45" hidden="1" customHeight="1">
      <c r="A142" s="197"/>
      <c r="B142" s="205"/>
      <c r="C142" s="120"/>
      <c r="D142" s="210"/>
      <c r="E142" s="148">
        <v>6</v>
      </c>
      <c r="F142" s="7" t="s">
        <v>198</v>
      </c>
      <c r="G142" s="8" t="s">
        <v>13</v>
      </c>
      <c r="H142" s="9" t="s">
        <v>5</v>
      </c>
      <c r="I142" s="10">
        <v>1</v>
      </c>
      <c r="J142" s="11" t="s">
        <v>14</v>
      </c>
      <c r="K142" s="12" t="s">
        <v>6</v>
      </c>
      <c r="L142" s="13" t="s">
        <v>7</v>
      </c>
      <c r="M142" s="316"/>
      <c r="N142" s="80">
        <v>0</v>
      </c>
      <c r="O142" s="22">
        <v>1</v>
      </c>
      <c r="P142" s="22">
        <f t="shared" si="8"/>
        <v>0</v>
      </c>
      <c r="Q142" s="16">
        <v>202508</v>
      </c>
      <c r="R142" s="16">
        <v>202510</v>
      </c>
      <c r="S142" s="16">
        <v>202511</v>
      </c>
      <c r="T142" s="10" t="s">
        <v>8</v>
      </c>
      <c r="U142" s="218">
        <f t="shared" si="22"/>
        <v>202511</v>
      </c>
      <c r="V142" s="79" t="str">
        <f>IF(ISBLANK(T142),"",L142)</f>
        <v>IDR</v>
      </c>
      <c r="W142" s="80">
        <f t="shared" si="23"/>
        <v>0</v>
      </c>
      <c r="X142" s="78"/>
      <c r="Y142" s="79"/>
      <c r="Z142" s="80"/>
      <c r="AA142" s="78"/>
      <c r="AB142" s="79"/>
      <c r="AC142" s="80"/>
      <c r="AD142" s="221">
        <f t="shared" si="24"/>
        <v>202510</v>
      </c>
      <c r="AE142" s="105"/>
      <c r="AF142" s="337"/>
    </row>
    <row r="143" spans="1:34" s="21" customFormat="1" ht="14.45" hidden="1" customHeight="1">
      <c r="A143" s="197"/>
      <c r="B143" s="205"/>
      <c r="C143" s="120"/>
      <c r="D143" s="210"/>
      <c r="E143" s="148"/>
      <c r="F143" s="7"/>
      <c r="G143" s="8"/>
      <c r="H143" s="9"/>
      <c r="I143" s="10"/>
      <c r="J143" s="11"/>
      <c r="K143" s="12"/>
      <c r="L143" s="13"/>
      <c r="M143" s="316"/>
      <c r="N143" s="125"/>
      <c r="O143" s="22"/>
      <c r="P143" s="80"/>
      <c r="Q143" s="16"/>
      <c r="R143" s="16"/>
      <c r="S143" s="16"/>
      <c r="T143" s="10"/>
      <c r="U143" s="218"/>
      <c r="V143" s="79"/>
      <c r="W143" s="80"/>
      <c r="X143" s="78"/>
      <c r="Y143" s="79"/>
      <c r="Z143" s="80"/>
      <c r="AA143" s="78"/>
      <c r="AB143" s="79"/>
      <c r="AC143" s="80"/>
      <c r="AD143" s="221"/>
      <c r="AE143" s="105"/>
      <c r="AF143" s="337"/>
    </row>
    <row r="144" spans="1:34" s="21" customFormat="1" ht="14.45" hidden="1" customHeight="1">
      <c r="A144" s="197" t="s">
        <v>199</v>
      </c>
      <c r="B144" s="205" t="s">
        <v>200</v>
      </c>
      <c r="C144" s="120">
        <f>SUM(P144:P145)</f>
        <v>300000000</v>
      </c>
      <c r="D144" s="210"/>
      <c r="E144" s="148">
        <v>1</v>
      </c>
      <c r="F144" s="7" t="s">
        <v>201</v>
      </c>
      <c r="G144" s="8" t="s">
        <v>13</v>
      </c>
      <c r="H144" s="9" t="s">
        <v>5</v>
      </c>
      <c r="I144" s="10">
        <v>1</v>
      </c>
      <c r="J144" s="11" t="s">
        <v>14</v>
      </c>
      <c r="K144" s="12" t="s">
        <v>6</v>
      </c>
      <c r="L144" s="13" t="s">
        <v>7</v>
      </c>
      <c r="M144" s="316"/>
      <c r="N144" s="80">
        <v>200000000</v>
      </c>
      <c r="O144" s="22">
        <v>1</v>
      </c>
      <c r="P144" s="22">
        <f t="shared" si="8"/>
        <v>200000000</v>
      </c>
      <c r="Q144" s="16">
        <v>202511</v>
      </c>
      <c r="R144" s="16">
        <f t="shared" ref="R144:S145" si="25">Q144+1</f>
        <v>202512</v>
      </c>
      <c r="S144" s="16">
        <v>202601</v>
      </c>
      <c r="T144" s="10" t="s">
        <v>8</v>
      </c>
      <c r="U144" s="218">
        <f>IF(ISBLANK(Q144),"",IF(LEFT(T144,2)="一括",IF(T144="一括(検収時)",S144,R144),Q144))</f>
        <v>202601</v>
      </c>
      <c r="V144" s="79" t="str">
        <f>IF(ISBLANK(T144),"",L144)</f>
        <v>IDR</v>
      </c>
      <c r="W144" s="80">
        <f>P144</f>
        <v>200000000</v>
      </c>
      <c r="X144" s="78" t="str">
        <f>IF(LEFT(T144,2)="一括","",IF(T144="DP2(30/70%)",S144,IF(T144="DP3(30/40/30%)",R144,"")))</f>
        <v/>
      </c>
      <c r="Y144" s="79" t="str">
        <f>IF(LEFT(T144,2)="一括","",V144)</f>
        <v/>
      </c>
      <c r="Z144" s="80" t="str">
        <f>IF(ISBLANK(T144),"",IF(LEFT(T144,2)="一括","",IF(T144="DP2(30/70%)",0.7*N144,0.4*N144)))</f>
        <v/>
      </c>
      <c r="AA144" s="78" t="str">
        <f>IF(LEFT(T144,2)="一括","",IF(T144="DP2(30/70%)","",IF(T144="DP3(30/40/30%)",S144,"")))</f>
        <v/>
      </c>
      <c r="AB144" s="79" t="str">
        <f>IF(T144="DP3(30/40/30%)",L144,"")</f>
        <v/>
      </c>
      <c r="AC144" s="80" t="str">
        <f>IF(ISBLANK(T144),"",IF(T144="DP3(30/40/30%)",0.3*N144,""))</f>
        <v/>
      </c>
      <c r="AD144" s="221">
        <f>R144</f>
        <v>202512</v>
      </c>
      <c r="AE144" s="105"/>
      <c r="AF144" s="337"/>
    </row>
    <row r="145" spans="1:32" s="21" customFormat="1" ht="14.45" hidden="1" customHeight="1">
      <c r="A145" s="197"/>
      <c r="B145" s="205"/>
      <c r="C145" s="120"/>
      <c r="D145" s="210"/>
      <c r="E145" s="148">
        <v>2</v>
      </c>
      <c r="F145" s="7" t="s">
        <v>202</v>
      </c>
      <c r="G145" s="8" t="s">
        <v>13</v>
      </c>
      <c r="H145" s="9" t="s">
        <v>5</v>
      </c>
      <c r="I145" s="10">
        <v>1</v>
      </c>
      <c r="J145" s="11" t="s">
        <v>14</v>
      </c>
      <c r="K145" s="12" t="s">
        <v>6</v>
      </c>
      <c r="L145" s="13" t="s">
        <v>7</v>
      </c>
      <c r="M145" s="316"/>
      <c r="N145" s="80">
        <v>100000000</v>
      </c>
      <c r="O145" s="22">
        <v>1</v>
      </c>
      <c r="P145" s="22">
        <f t="shared" si="8"/>
        <v>100000000</v>
      </c>
      <c r="Q145" s="16">
        <v>202510</v>
      </c>
      <c r="R145" s="16">
        <f t="shared" si="25"/>
        <v>202511</v>
      </c>
      <c r="S145" s="16">
        <f t="shared" si="25"/>
        <v>202512</v>
      </c>
      <c r="T145" s="10" t="s">
        <v>8</v>
      </c>
      <c r="U145" s="218">
        <f>IF(ISBLANK(Q145),"",IF(LEFT(T145,2)="一括",IF(T145="一括(検収時)",S145,R145),Q145))</f>
        <v>202512</v>
      </c>
      <c r="V145" s="79" t="s">
        <v>7</v>
      </c>
      <c r="W145" s="80">
        <f>P145</f>
        <v>100000000</v>
      </c>
      <c r="X145" s="78"/>
      <c r="Y145" s="79"/>
      <c r="Z145" s="80"/>
      <c r="AA145" s="78"/>
      <c r="AB145" s="79"/>
      <c r="AC145" s="80"/>
      <c r="AD145" s="221">
        <f>R145</f>
        <v>202511</v>
      </c>
      <c r="AE145" s="105"/>
      <c r="AF145" s="337"/>
    </row>
    <row r="146" spans="1:32" s="21" customFormat="1" ht="14.45" hidden="1" customHeight="1">
      <c r="A146" s="197"/>
      <c r="B146" s="205"/>
      <c r="C146" s="120"/>
      <c r="D146" s="210"/>
      <c r="E146" s="148"/>
      <c r="F146" s="7"/>
      <c r="G146" s="8"/>
      <c r="H146" s="9"/>
      <c r="I146" s="10"/>
      <c r="J146" s="11"/>
      <c r="K146" s="12"/>
      <c r="L146" s="13"/>
      <c r="M146" s="316"/>
      <c r="N146" s="124"/>
      <c r="O146" s="22"/>
      <c r="P146" s="80"/>
      <c r="Q146" s="16"/>
      <c r="R146" s="16"/>
      <c r="S146" s="16"/>
      <c r="T146" s="10"/>
      <c r="U146" s="218"/>
      <c r="V146" s="79"/>
      <c r="W146" s="80"/>
      <c r="X146" s="78"/>
      <c r="Y146" s="79"/>
      <c r="Z146" s="80"/>
      <c r="AA146" s="78"/>
      <c r="AB146" s="79"/>
      <c r="AC146" s="80"/>
      <c r="AD146" s="221"/>
      <c r="AE146" s="105"/>
      <c r="AF146" s="337"/>
    </row>
    <row r="147" spans="1:32" s="21" customFormat="1" ht="14.45" hidden="1" customHeight="1">
      <c r="A147" s="197" t="s">
        <v>203</v>
      </c>
      <c r="B147" s="205" t="s">
        <v>204</v>
      </c>
      <c r="C147" s="120">
        <f>SUM(P147:P156)</f>
        <v>390000000</v>
      </c>
      <c r="D147" s="210"/>
      <c r="E147" s="148">
        <v>1</v>
      </c>
      <c r="F147" s="7" t="s">
        <v>205</v>
      </c>
      <c r="G147" s="8" t="s">
        <v>13</v>
      </c>
      <c r="H147" s="9" t="s">
        <v>5</v>
      </c>
      <c r="I147" s="10">
        <v>1</v>
      </c>
      <c r="J147" s="11" t="s">
        <v>14</v>
      </c>
      <c r="K147" s="12" t="s">
        <v>6</v>
      </c>
      <c r="L147" s="13" t="s">
        <v>7</v>
      </c>
      <c r="M147" s="316"/>
      <c r="N147" s="80">
        <v>39000000</v>
      </c>
      <c r="O147" s="22">
        <v>1</v>
      </c>
      <c r="P147" s="22">
        <f t="shared" si="8"/>
        <v>39000000</v>
      </c>
      <c r="Q147" s="16">
        <v>202507</v>
      </c>
      <c r="R147" s="16">
        <f>Q147+1</f>
        <v>202508</v>
      </c>
      <c r="S147" s="16">
        <f>R147+1</f>
        <v>202509</v>
      </c>
      <c r="T147" s="122" t="s">
        <v>8</v>
      </c>
      <c r="U147" s="218">
        <f t="shared" ref="U147:U156" si="26">IF(ISBLANK(Q147),"",IF(LEFT(T147,2)="一括",IF(T147="一括(検収時)",S147,R147),Q147))</f>
        <v>202509</v>
      </c>
      <c r="V147" s="79" t="s">
        <v>7</v>
      </c>
      <c r="W147" s="80">
        <f t="shared" ref="W147:W156" si="27">P147</f>
        <v>39000000</v>
      </c>
      <c r="X147" s="78"/>
      <c r="Y147" s="79"/>
      <c r="Z147" s="80"/>
      <c r="AA147" s="78"/>
      <c r="AB147" s="79"/>
      <c r="AC147" s="80"/>
      <c r="AD147" s="221">
        <f t="shared" ref="AD147:AD156" si="28">R147</f>
        <v>202508</v>
      </c>
      <c r="AE147" s="105"/>
      <c r="AF147" s="337"/>
    </row>
    <row r="148" spans="1:32" s="21" customFormat="1" ht="14.45" hidden="1" customHeight="1">
      <c r="A148" s="197"/>
      <c r="B148" s="205"/>
      <c r="C148" s="120"/>
      <c r="D148" s="210"/>
      <c r="E148" s="148">
        <v>2</v>
      </c>
      <c r="F148" s="7" t="s">
        <v>206</v>
      </c>
      <c r="G148" s="8" t="s">
        <v>13</v>
      </c>
      <c r="H148" s="9" t="s">
        <v>5</v>
      </c>
      <c r="I148" s="10">
        <v>1</v>
      </c>
      <c r="J148" s="11" t="s">
        <v>14</v>
      </c>
      <c r="K148" s="12" t="s">
        <v>6</v>
      </c>
      <c r="L148" s="13" t="s">
        <v>7</v>
      </c>
      <c r="M148" s="316"/>
      <c r="N148" s="80">
        <v>39000000</v>
      </c>
      <c r="O148" s="22">
        <v>1</v>
      </c>
      <c r="P148" s="22">
        <f t="shared" si="8"/>
        <v>39000000</v>
      </c>
      <c r="Q148" s="16">
        <v>202507</v>
      </c>
      <c r="R148" s="16">
        <f t="shared" ref="R148:S156" si="29">Q148+1</f>
        <v>202508</v>
      </c>
      <c r="S148" s="16">
        <f t="shared" si="29"/>
        <v>202509</v>
      </c>
      <c r="T148" s="122" t="s">
        <v>8</v>
      </c>
      <c r="U148" s="218">
        <f t="shared" si="26"/>
        <v>202509</v>
      </c>
      <c r="V148" s="79" t="s">
        <v>7</v>
      </c>
      <c r="W148" s="80">
        <f t="shared" si="27"/>
        <v>39000000</v>
      </c>
      <c r="X148" s="78"/>
      <c r="Y148" s="79"/>
      <c r="Z148" s="80"/>
      <c r="AA148" s="78"/>
      <c r="AB148" s="79"/>
      <c r="AC148" s="80"/>
      <c r="AD148" s="221">
        <f t="shared" si="28"/>
        <v>202508</v>
      </c>
      <c r="AE148" s="105"/>
      <c r="AF148" s="337"/>
    </row>
    <row r="149" spans="1:32" s="21" customFormat="1" ht="14.45" hidden="1" customHeight="1">
      <c r="A149" s="197"/>
      <c r="B149" s="205"/>
      <c r="C149" s="120"/>
      <c r="D149" s="210"/>
      <c r="E149" s="148">
        <v>3</v>
      </c>
      <c r="F149" s="7" t="s">
        <v>207</v>
      </c>
      <c r="G149" s="8" t="s">
        <v>13</v>
      </c>
      <c r="H149" s="9" t="s">
        <v>5</v>
      </c>
      <c r="I149" s="10">
        <v>1</v>
      </c>
      <c r="J149" s="11" t="s">
        <v>14</v>
      </c>
      <c r="K149" s="12" t="s">
        <v>6</v>
      </c>
      <c r="L149" s="13" t="s">
        <v>7</v>
      </c>
      <c r="M149" s="316"/>
      <c r="N149" s="80">
        <v>39000000</v>
      </c>
      <c r="O149" s="22">
        <v>1</v>
      </c>
      <c r="P149" s="22">
        <f t="shared" si="8"/>
        <v>39000000</v>
      </c>
      <c r="Q149" s="16">
        <v>202508</v>
      </c>
      <c r="R149" s="16">
        <f t="shared" si="29"/>
        <v>202509</v>
      </c>
      <c r="S149" s="16">
        <f t="shared" si="29"/>
        <v>202510</v>
      </c>
      <c r="T149" s="122" t="s">
        <v>8</v>
      </c>
      <c r="U149" s="218">
        <f t="shared" si="26"/>
        <v>202510</v>
      </c>
      <c r="V149" s="79" t="s">
        <v>7</v>
      </c>
      <c r="W149" s="80">
        <f t="shared" si="27"/>
        <v>39000000</v>
      </c>
      <c r="X149" s="78"/>
      <c r="Y149" s="79"/>
      <c r="Z149" s="80"/>
      <c r="AA149" s="78"/>
      <c r="AB149" s="79"/>
      <c r="AC149" s="80"/>
      <c r="AD149" s="221">
        <f t="shared" si="28"/>
        <v>202509</v>
      </c>
      <c r="AE149" s="105"/>
      <c r="AF149" s="337"/>
    </row>
    <row r="150" spans="1:32" s="21" customFormat="1" ht="14.45" hidden="1" customHeight="1">
      <c r="A150" s="197"/>
      <c r="B150" s="205"/>
      <c r="C150" s="120"/>
      <c r="D150" s="210"/>
      <c r="E150" s="148">
        <v>4</v>
      </c>
      <c r="F150" s="7" t="s">
        <v>208</v>
      </c>
      <c r="G150" s="8" t="s">
        <v>13</v>
      </c>
      <c r="H150" s="9" t="s">
        <v>5</v>
      </c>
      <c r="I150" s="10">
        <v>1</v>
      </c>
      <c r="J150" s="11" t="s">
        <v>14</v>
      </c>
      <c r="K150" s="12" t="s">
        <v>6</v>
      </c>
      <c r="L150" s="13" t="s">
        <v>7</v>
      </c>
      <c r="M150" s="316"/>
      <c r="N150" s="80">
        <v>39000000</v>
      </c>
      <c r="O150" s="22">
        <v>1</v>
      </c>
      <c r="P150" s="22">
        <f t="shared" si="8"/>
        <v>39000000</v>
      </c>
      <c r="Q150" s="16">
        <v>202508</v>
      </c>
      <c r="R150" s="16">
        <f t="shared" si="29"/>
        <v>202509</v>
      </c>
      <c r="S150" s="16">
        <f t="shared" si="29"/>
        <v>202510</v>
      </c>
      <c r="T150" s="122" t="s">
        <v>8</v>
      </c>
      <c r="U150" s="218">
        <f t="shared" si="26"/>
        <v>202510</v>
      </c>
      <c r="V150" s="79" t="s">
        <v>7</v>
      </c>
      <c r="W150" s="80">
        <f t="shared" si="27"/>
        <v>39000000</v>
      </c>
      <c r="X150" s="78"/>
      <c r="Y150" s="79"/>
      <c r="Z150" s="80"/>
      <c r="AA150" s="78"/>
      <c r="AB150" s="79"/>
      <c r="AC150" s="80"/>
      <c r="AD150" s="221">
        <f t="shared" si="28"/>
        <v>202509</v>
      </c>
      <c r="AE150" s="105"/>
      <c r="AF150" s="337"/>
    </row>
    <row r="151" spans="1:32" s="21" customFormat="1" ht="14.45" hidden="1" customHeight="1">
      <c r="A151" s="197"/>
      <c r="B151" s="205"/>
      <c r="C151" s="120"/>
      <c r="D151" s="210"/>
      <c r="E151" s="148">
        <v>5</v>
      </c>
      <c r="F151" s="7" t="s">
        <v>209</v>
      </c>
      <c r="G151" s="8" t="s">
        <v>13</v>
      </c>
      <c r="H151" s="9" t="s">
        <v>5</v>
      </c>
      <c r="I151" s="10">
        <v>1</v>
      </c>
      <c r="J151" s="11" t="s">
        <v>14</v>
      </c>
      <c r="K151" s="12" t="s">
        <v>6</v>
      </c>
      <c r="L151" s="13" t="s">
        <v>7</v>
      </c>
      <c r="M151" s="316"/>
      <c r="N151" s="80">
        <v>39000000</v>
      </c>
      <c r="O151" s="22">
        <v>1</v>
      </c>
      <c r="P151" s="22">
        <f t="shared" si="8"/>
        <v>39000000</v>
      </c>
      <c r="Q151" s="16">
        <v>202509</v>
      </c>
      <c r="R151" s="16">
        <f t="shared" si="29"/>
        <v>202510</v>
      </c>
      <c r="S151" s="16">
        <f t="shared" si="29"/>
        <v>202511</v>
      </c>
      <c r="T151" s="122" t="s">
        <v>8</v>
      </c>
      <c r="U151" s="218">
        <f t="shared" si="26"/>
        <v>202511</v>
      </c>
      <c r="V151" s="79" t="s">
        <v>7</v>
      </c>
      <c r="W151" s="80">
        <f t="shared" si="27"/>
        <v>39000000</v>
      </c>
      <c r="X151" s="78"/>
      <c r="Y151" s="79"/>
      <c r="Z151" s="80"/>
      <c r="AA151" s="78"/>
      <c r="AB151" s="79"/>
      <c r="AC151" s="80"/>
      <c r="AD151" s="221">
        <f t="shared" si="28"/>
        <v>202510</v>
      </c>
      <c r="AE151" s="105"/>
      <c r="AF151" s="337"/>
    </row>
    <row r="152" spans="1:32" s="21" customFormat="1" ht="14.45" hidden="1" customHeight="1">
      <c r="A152" s="197"/>
      <c r="B152" s="205"/>
      <c r="C152" s="120"/>
      <c r="D152" s="210"/>
      <c r="E152" s="148">
        <v>6</v>
      </c>
      <c r="F152" s="7" t="s">
        <v>210</v>
      </c>
      <c r="G152" s="8" t="s">
        <v>13</v>
      </c>
      <c r="H152" s="9" t="s">
        <v>5</v>
      </c>
      <c r="I152" s="10">
        <v>1</v>
      </c>
      <c r="J152" s="11" t="s">
        <v>14</v>
      </c>
      <c r="K152" s="12" t="s">
        <v>6</v>
      </c>
      <c r="L152" s="13" t="s">
        <v>7</v>
      </c>
      <c r="M152" s="316"/>
      <c r="N152" s="80">
        <v>39000000</v>
      </c>
      <c r="O152" s="22">
        <v>1</v>
      </c>
      <c r="P152" s="22">
        <f t="shared" si="8"/>
        <v>39000000</v>
      </c>
      <c r="Q152" s="16">
        <v>202509</v>
      </c>
      <c r="R152" s="16">
        <f t="shared" si="29"/>
        <v>202510</v>
      </c>
      <c r="S152" s="16">
        <f t="shared" si="29"/>
        <v>202511</v>
      </c>
      <c r="T152" s="122" t="s">
        <v>8</v>
      </c>
      <c r="U152" s="218">
        <f t="shared" si="26"/>
        <v>202511</v>
      </c>
      <c r="V152" s="79" t="s">
        <v>7</v>
      </c>
      <c r="W152" s="80">
        <f t="shared" si="27"/>
        <v>39000000</v>
      </c>
      <c r="X152" s="78"/>
      <c r="Y152" s="79"/>
      <c r="Z152" s="80"/>
      <c r="AA152" s="78"/>
      <c r="AB152" s="79"/>
      <c r="AC152" s="80"/>
      <c r="AD152" s="221">
        <f t="shared" si="28"/>
        <v>202510</v>
      </c>
      <c r="AE152" s="105"/>
      <c r="AF152" s="337"/>
    </row>
    <row r="153" spans="1:32" s="21" customFormat="1" ht="14.45" hidden="1" customHeight="1">
      <c r="A153" s="197"/>
      <c r="B153" s="205"/>
      <c r="C153" s="120"/>
      <c r="D153" s="210"/>
      <c r="E153" s="148">
        <v>7</v>
      </c>
      <c r="F153" s="7" t="s">
        <v>211</v>
      </c>
      <c r="G153" s="8" t="s">
        <v>13</v>
      </c>
      <c r="H153" s="9" t="s">
        <v>5</v>
      </c>
      <c r="I153" s="10">
        <v>1</v>
      </c>
      <c r="J153" s="11" t="s">
        <v>14</v>
      </c>
      <c r="K153" s="12" t="s">
        <v>6</v>
      </c>
      <c r="L153" s="13" t="s">
        <v>7</v>
      </c>
      <c r="M153" s="316"/>
      <c r="N153" s="80">
        <v>39000000</v>
      </c>
      <c r="O153" s="22">
        <v>1</v>
      </c>
      <c r="P153" s="22">
        <f t="shared" si="8"/>
        <v>39000000</v>
      </c>
      <c r="Q153" s="16">
        <v>202510</v>
      </c>
      <c r="R153" s="16">
        <f t="shared" si="29"/>
        <v>202511</v>
      </c>
      <c r="S153" s="16">
        <f t="shared" si="29"/>
        <v>202512</v>
      </c>
      <c r="T153" s="122" t="s">
        <v>8</v>
      </c>
      <c r="U153" s="218">
        <f t="shared" si="26"/>
        <v>202512</v>
      </c>
      <c r="V153" s="79" t="s">
        <v>7</v>
      </c>
      <c r="W153" s="80">
        <f t="shared" si="27"/>
        <v>39000000</v>
      </c>
      <c r="X153" s="78"/>
      <c r="Y153" s="79"/>
      <c r="Z153" s="80"/>
      <c r="AA153" s="78"/>
      <c r="AB153" s="79"/>
      <c r="AC153" s="80"/>
      <c r="AD153" s="221">
        <f t="shared" si="28"/>
        <v>202511</v>
      </c>
      <c r="AE153" s="105"/>
      <c r="AF153" s="337"/>
    </row>
    <row r="154" spans="1:32" s="21" customFormat="1" ht="14.45" hidden="1" customHeight="1">
      <c r="A154" s="197"/>
      <c r="B154" s="205"/>
      <c r="C154" s="120"/>
      <c r="D154" s="210"/>
      <c r="E154" s="148">
        <v>8</v>
      </c>
      <c r="F154" s="7" t="s">
        <v>212</v>
      </c>
      <c r="G154" s="8" t="s">
        <v>13</v>
      </c>
      <c r="H154" s="9" t="s">
        <v>5</v>
      </c>
      <c r="I154" s="10">
        <v>1</v>
      </c>
      <c r="J154" s="11" t="s">
        <v>14</v>
      </c>
      <c r="K154" s="12" t="s">
        <v>6</v>
      </c>
      <c r="L154" s="13" t="s">
        <v>7</v>
      </c>
      <c r="M154" s="316"/>
      <c r="N154" s="80">
        <v>39000000</v>
      </c>
      <c r="O154" s="22">
        <v>1</v>
      </c>
      <c r="P154" s="22">
        <f t="shared" si="8"/>
        <v>39000000</v>
      </c>
      <c r="Q154" s="16">
        <v>202510</v>
      </c>
      <c r="R154" s="16">
        <f t="shared" si="29"/>
        <v>202511</v>
      </c>
      <c r="S154" s="16">
        <f t="shared" si="29"/>
        <v>202512</v>
      </c>
      <c r="T154" s="122" t="s">
        <v>8</v>
      </c>
      <c r="U154" s="218">
        <f t="shared" si="26"/>
        <v>202512</v>
      </c>
      <c r="V154" s="79" t="s">
        <v>7</v>
      </c>
      <c r="W154" s="80">
        <f t="shared" si="27"/>
        <v>39000000</v>
      </c>
      <c r="X154" s="78"/>
      <c r="Y154" s="79"/>
      <c r="Z154" s="80"/>
      <c r="AA154" s="78"/>
      <c r="AB154" s="79"/>
      <c r="AC154" s="80"/>
      <c r="AD154" s="221">
        <f t="shared" si="28"/>
        <v>202511</v>
      </c>
      <c r="AE154" s="105"/>
      <c r="AF154" s="337"/>
    </row>
    <row r="155" spans="1:32" s="21" customFormat="1" ht="14.45" hidden="1" customHeight="1">
      <c r="A155" s="197"/>
      <c r="B155" s="205"/>
      <c r="C155" s="120"/>
      <c r="D155" s="210"/>
      <c r="E155" s="148">
        <v>9</v>
      </c>
      <c r="F155" s="7" t="s">
        <v>213</v>
      </c>
      <c r="G155" s="8" t="s">
        <v>13</v>
      </c>
      <c r="H155" s="9" t="s">
        <v>5</v>
      </c>
      <c r="I155" s="10">
        <v>1</v>
      </c>
      <c r="J155" s="11" t="s">
        <v>14</v>
      </c>
      <c r="K155" s="12" t="s">
        <v>6</v>
      </c>
      <c r="L155" s="13" t="s">
        <v>7</v>
      </c>
      <c r="M155" s="316"/>
      <c r="N155" s="80">
        <v>39000000</v>
      </c>
      <c r="O155" s="22">
        <v>1</v>
      </c>
      <c r="P155" s="22">
        <f t="shared" si="8"/>
        <v>39000000</v>
      </c>
      <c r="Q155" s="16">
        <v>202511</v>
      </c>
      <c r="R155" s="16">
        <f t="shared" si="29"/>
        <v>202512</v>
      </c>
      <c r="S155" s="16">
        <v>202601</v>
      </c>
      <c r="T155" s="122" t="s">
        <v>8</v>
      </c>
      <c r="U155" s="218">
        <f t="shared" si="26"/>
        <v>202601</v>
      </c>
      <c r="V155" s="79" t="s">
        <v>7</v>
      </c>
      <c r="W155" s="80">
        <f t="shared" si="27"/>
        <v>39000000</v>
      </c>
      <c r="X155" s="78"/>
      <c r="Y155" s="79"/>
      <c r="Z155" s="80"/>
      <c r="AA155" s="78"/>
      <c r="AB155" s="79"/>
      <c r="AC155" s="80"/>
      <c r="AD155" s="221">
        <f t="shared" si="28"/>
        <v>202512</v>
      </c>
      <c r="AE155" s="105"/>
      <c r="AF155" s="337"/>
    </row>
    <row r="156" spans="1:32" s="21" customFormat="1" ht="14.45" hidden="1" customHeight="1">
      <c r="A156" s="197"/>
      <c r="B156" s="205"/>
      <c r="C156" s="120"/>
      <c r="D156" s="210"/>
      <c r="E156" s="148">
        <v>10</v>
      </c>
      <c r="F156" s="7" t="s">
        <v>214</v>
      </c>
      <c r="G156" s="8" t="s">
        <v>13</v>
      </c>
      <c r="H156" s="9" t="s">
        <v>5</v>
      </c>
      <c r="I156" s="10">
        <v>1</v>
      </c>
      <c r="J156" s="11" t="s">
        <v>14</v>
      </c>
      <c r="K156" s="12" t="s">
        <v>6</v>
      </c>
      <c r="L156" s="13" t="s">
        <v>7</v>
      </c>
      <c r="M156" s="316"/>
      <c r="N156" s="80">
        <v>39000000</v>
      </c>
      <c r="O156" s="22">
        <v>1</v>
      </c>
      <c r="P156" s="22">
        <f t="shared" ref="P156:P161" si="30">IF(ISBLANK(N156),"",N156*O156)</f>
        <v>39000000</v>
      </c>
      <c r="Q156" s="16">
        <v>202511</v>
      </c>
      <c r="R156" s="16">
        <f t="shared" si="29"/>
        <v>202512</v>
      </c>
      <c r="S156" s="16">
        <v>202601</v>
      </c>
      <c r="T156" s="122" t="s">
        <v>8</v>
      </c>
      <c r="U156" s="218">
        <f t="shared" si="26"/>
        <v>202601</v>
      </c>
      <c r="V156" s="79" t="s">
        <v>7</v>
      </c>
      <c r="W156" s="80">
        <f t="shared" si="27"/>
        <v>39000000</v>
      </c>
      <c r="X156" s="78"/>
      <c r="Y156" s="79"/>
      <c r="Z156" s="80"/>
      <c r="AA156" s="78"/>
      <c r="AB156" s="79"/>
      <c r="AC156" s="80"/>
      <c r="AD156" s="221">
        <f t="shared" si="28"/>
        <v>202512</v>
      </c>
      <c r="AE156" s="105"/>
      <c r="AF156" s="337"/>
    </row>
    <row r="157" spans="1:32" s="21" customFormat="1" ht="14.45" hidden="1" customHeight="1">
      <c r="A157" s="197"/>
      <c r="B157" s="205"/>
      <c r="C157" s="120"/>
      <c r="D157" s="210"/>
      <c r="E157" s="148"/>
      <c r="F157" s="7"/>
      <c r="G157" s="8"/>
      <c r="H157" s="9"/>
      <c r="I157" s="10"/>
      <c r="J157" s="11"/>
      <c r="K157" s="12"/>
      <c r="L157" s="13"/>
      <c r="M157" s="316"/>
      <c r="N157" s="125"/>
      <c r="O157" s="22"/>
      <c r="P157" s="80"/>
      <c r="Q157" s="16"/>
      <c r="R157" s="16"/>
      <c r="S157" s="16"/>
      <c r="T157" s="10"/>
      <c r="U157" s="218"/>
      <c r="V157" s="79"/>
      <c r="W157" s="80"/>
      <c r="X157" s="78"/>
      <c r="Y157" s="79"/>
      <c r="Z157" s="80"/>
      <c r="AA157" s="78"/>
      <c r="AB157" s="79"/>
      <c r="AC157" s="80"/>
      <c r="AD157" s="221"/>
      <c r="AE157" s="105"/>
      <c r="AF157" s="337"/>
    </row>
    <row r="158" spans="1:32" s="21" customFormat="1" ht="14.45" hidden="1" customHeight="1">
      <c r="A158" s="197" t="s">
        <v>215</v>
      </c>
      <c r="B158" s="205" t="s">
        <v>216</v>
      </c>
      <c r="C158" s="120">
        <f>SUM(P158:P159)</f>
        <v>955000000</v>
      </c>
      <c r="D158" s="210"/>
      <c r="E158" s="283">
        <v>1</v>
      </c>
      <c r="F158" s="130" t="s">
        <v>217</v>
      </c>
      <c r="G158" s="24" t="s">
        <v>13</v>
      </c>
      <c r="H158" s="131" t="s">
        <v>5</v>
      </c>
      <c r="I158" s="132">
        <v>0</v>
      </c>
      <c r="J158" s="155" t="s">
        <v>14</v>
      </c>
      <c r="K158" s="156" t="s">
        <v>6</v>
      </c>
      <c r="L158" s="157" t="s">
        <v>7</v>
      </c>
      <c r="M158" s="317"/>
      <c r="N158" s="133">
        <v>0</v>
      </c>
      <c r="O158" s="134">
        <v>1</v>
      </c>
      <c r="P158" s="134">
        <f t="shared" si="30"/>
        <v>0</v>
      </c>
      <c r="Q158" s="135">
        <v>202505</v>
      </c>
      <c r="R158" s="135">
        <f t="shared" ref="R158:S161" si="31">Q158+1</f>
        <v>202506</v>
      </c>
      <c r="S158" s="135">
        <f t="shared" si="31"/>
        <v>202507</v>
      </c>
      <c r="T158" s="132" t="s">
        <v>8</v>
      </c>
      <c r="U158" s="220">
        <f>IF(ISBLANK(Q158),"",IF(LEFT(T158,2)="一括",IF(T158="一括(検収時)",S158,R158),Q158))</f>
        <v>202507</v>
      </c>
      <c r="V158" s="137" t="str">
        <f>IF(ISBLANK(T158),"",L158)</f>
        <v>IDR</v>
      </c>
      <c r="W158" s="133">
        <f>P158</f>
        <v>0</v>
      </c>
      <c r="X158" s="136"/>
      <c r="Y158" s="137"/>
      <c r="Z158" s="133"/>
      <c r="AA158" s="136"/>
      <c r="AB158" s="137"/>
      <c r="AC158" s="133"/>
      <c r="AD158" s="224">
        <f>R158</f>
        <v>202506</v>
      </c>
      <c r="AE158" s="105"/>
      <c r="AF158" s="337"/>
    </row>
    <row r="159" spans="1:32" s="21" customFormat="1" ht="14.45" hidden="1" customHeight="1">
      <c r="A159" s="197"/>
      <c r="B159" s="205"/>
      <c r="C159" s="120"/>
      <c r="D159" s="210"/>
      <c r="E159" s="148">
        <v>2</v>
      </c>
      <c r="F159" s="7" t="s">
        <v>218</v>
      </c>
      <c r="G159" s="8" t="s">
        <v>13</v>
      </c>
      <c r="H159" s="9" t="s">
        <v>5</v>
      </c>
      <c r="I159" s="10">
        <v>241</v>
      </c>
      <c r="J159" s="11" t="s">
        <v>14</v>
      </c>
      <c r="K159" s="12" t="s">
        <v>6</v>
      </c>
      <c r="L159" s="13" t="s">
        <v>7</v>
      </c>
      <c r="M159" s="316"/>
      <c r="N159" s="80">
        <v>955000000</v>
      </c>
      <c r="O159" s="22">
        <v>1</v>
      </c>
      <c r="P159" s="22">
        <f t="shared" si="30"/>
        <v>955000000</v>
      </c>
      <c r="Q159" s="16">
        <v>202504</v>
      </c>
      <c r="R159" s="16">
        <f t="shared" si="31"/>
        <v>202505</v>
      </c>
      <c r="S159" s="16">
        <f t="shared" si="31"/>
        <v>202506</v>
      </c>
      <c r="T159" s="10" t="s">
        <v>8</v>
      </c>
      <c r="U159" s="218">
        <f>IF(ISBLANK(Q159),"",IF(LEFT(T159,2)="一括",IF(T159="一括(検収時)",S159,R159),Q159))</f>
        <v>202506</v>
      </c>
      <c r="V159" s="79" t="str">
        <f>IF(ISBLANK(T159),"",L159)</f>
        <v>IDR</v>
      </c>
      <c r="W159" s="80">
        <f>P159</f>
        <v>955000000</v>
      </c>
      <c r="X159" s="78"/>
      <c r="Y159" s="79"/>
      <c r="Z159" s="80"/>
      <c r="AA159" s="78"/>
      <c r="AB159" s="79"/>
      <c r="AC159" s="80"/>
      <c r="AD159" s="221">
        <f>R159</f>
        <v>202505</v>
      </c>
      <c r="AE159" s="105"/>
      <c r="AF159" s="337"/>
    </row>
    <row r="160" spans="1:32" s="21" customFormat="1" ht="14.45" hidden="1" customHeight="1">
      <c r="A160" s="197"/>
      <c r="B160" s="205"/>
      <c r="C160" s="120"/>
      <c r="D160" s="210"/>
      <c r="E160" s="148"/>
      <c r="F160" s="7"/>
      <c r="G160" s="8"/>
      <c r="H160" s="9"/>
      <c r="I160" s="10"/>
      <c r="J160" s="11"/>
      <c r="K160" s="12"/>
      <c r="L160" s="13"/>
      <c r="M160" s="13"/>
      <c r="N160" s="14"/>
      <c r="O160" s="22"/>
      <c r="P160" s="80"/>
      <c r="Q160" s="16"/>
      <c r="R160" s="16"/>
      <c r="S160" s="16"/>
      <c r="T160" s="10"/>
      <c r="U160" s="218"/>
      <c r="V160" s="79"/>
      <c r="W160" s="80"/>
      <c r="X160" s="78"/>
      <c r="Y160" s="79"/>
      <c r="Z160" s="80"/>
      <c r="AA160" s="78"/>
      <c r="AB160" s="79"/>
      <c r="AC160" s="80"/>
      <c r="AD160" s="221"/>
      <c r="AE160" s="105"/>
      <c r="AF160" s="337"/>
    </row>
    <row r="161" spans="1:34" s="21" customFormat="1" ht="14.45" hidden="1" customHeight="1">
      <c r="A161" s="197" t="s">
        <v>219</v>
      </c>
      <c r="B161" s="205" t="s">
        <v>220</v>
      </c>
      <c r="C161" s="120">
        <f>SUM(P161)</f>
        <v>210000000</v>
      </c>
      <c r="D161" s="210"/>
      <c r="E161" s="148">
        <v>1</v>
      </c>
      <c r="F161" s="7" t="s">
        <v>221</v>
      </c>
      <c r="G161" s="8" t="s">
        <v>13</v>
      </c>
      <c r="H161" s="9" t="s">
        <v>5</v>
      </c>
      <c r="I161" s="10">
        <v>1</v>
      </c>
      <c r="J161" s="11" t="s">
        <v>14</v>
      </c>
      <c r="K161" s="12" t="s">
        <v>6</v>
      </c>
      <c r="L161" s="13" t="s">
        <v>7</v>
      </c>
      <c r="M161" s="316"/>
      <c r="N161" s="80">
        <v>210000000</v>
      </c>
      <c r="O161" s="22">
        <v>1</v>
      </c>
      <c r="P161" s="22">
        <f t="shared" si="30"/>
        <v>210000000</v>
      </c>
      <c r="Q161" s="16">
        <v>202508</v>
      </c>
      <c r="R161" s="16">
        <f t="shared" si="31"/>
        <v>202509</v>
      </c>
      <c r="S161" s="16">
        <f t="shared" si="31"/>
        <v>202510</v>
      </c>
      <c r="T161" s="10" t="s">
        <v>8</v>
      </c>
      <c r="U161" s="218">
        <f>IF(ISBLANK(Q161),"",IF(LEFT(T161,2)="一括",IF(T161="一括(検収時)",S161,R161),Q161))</f>
        <v>202510</v>
      </c>
      <c r="V161" s="79" t="str">
        <f>IF(ISBLANK(T161),"",L161)</f>
        <v>IDR</v>
      </c>
      <c r="W161" s="80">
        <f>P161</f>
        <v>210000000</v>
      </c>
      <c r="X161" s="78" t="str">
        <f>IF(LEFT(T161,2)="一括","",IF(T161="DP2(30/70%)",S161,IF(T161="DP3(30/40/30%)",R161,"")))</f>
        <v/>
      </c>
      <c r="Y161" s="79" t="str">
        <f>IF(LEFT(T161,2)="一括","",V161)</f>
        <v/>
      </c>
      <c r="Z161" s="80" t="str">
        <f>IF(ISBLANK(T161),"",IF(LEFT(T161,2)="一括","",IF(T161="DP2(30/70%)",0.7*N161,0.4*N161)))</f>
        <v/>
      </c>
      <c r="AA161" s="78" t="str">
        <f>IF(LEFT(T161,2)="一括","",IF(T161="DP2(30/70%)","",IF(T161="DP3(30/40/30%)",S161,"")))</f>
        <v/>
      </c>
      <c r="AB161" s="79" t="str">
        <f>IF(T161="DP3(30/40/30%)",L161,"")</f>
        <v/>
      </c>
      <c r="AC161" s="80" t="str">
        <f>IF(ISBLANK(T161),"",IF(T161="DP3(30/40/30%)",0.3*N161,""))</f>
        <v/>
      </c>
      <c r="AD161" s="221">
        <f>R161</f>
        <v>202509</v>
      </c>
      <c r="AE161" s="105"/>
      <c r="AF161" s="337"/>
    </row>
    <row r="162" spans="1:34" s="82" customFormat="1" ht="12.75" hidden="1" thickBot="1">
      <c r="A162" s="197"/>
      <c r="B162" s="166"/>
      <c r="C162" s="159"/>
      <c r="D162" s="201"/>
      <c r="E162" s="148"/>
      <c r="F162" s="7"/>
      <c r="G162" s="8"/>
      <c r="H162" s="9"/>
      <c r="I162" s="10"/>
      <c r="J162" s="11"/>
      <c r="K162" s="12"/>
      <c r="L162" s="13"/>
      <c r="M162" s="316"/>
      <c r="N162" s="80"/>
      <c r="O162" s="22"/>
      <c r="P162" s="80"/>
      <c r="Q162" s="16"/>
      <c r="R162" s="16"/>
      <c r="S162" s="16"/>
      <c r="T162" s="10"/>
      <c r="U162" s="218"/>
      <c r="V162" s="79"/>
      <c r="W162" s="80"/>
      <c r="X162" s="279"/>
      <c r="Y162" s="280"/>
      <c r="Z162" s="281"/>
      <c r="AA162" s="279"/>
      <c r="AB162" s="280"/>
      <c r="AC162" s="281"/>
      <c r="AD162" s="221"/>
      <c r="AE162" s="118"/>
      <c r="AF162" s="338"/>
      <c r="AG162" s="21"/>
      <c r="AH162" s="21"/>
    </row>
    <row r="163" spans="1:34" s="21" customFormat="1" ht="14.45" hidden="1" customHeight="1">
      <c r="A163" s="197"/>
      <c r="B163" s="205"/>
      <c r="C163" s="120"/>
      <c r="D163" s="210"/>
      <c r="E163" s="148"/>
      <c r="F163" s="7"/>
      <c r="G163" s="8"/>
      <c r="H163" s="9"/>
      <c r="I163" s="10"/>
      <c r="J163" s="11"/>
      <c r="K163" s="12"/>
      <c r="L163" s="13"/>
      <c r="M163" s="316"/>
      <c r="N163" s="124"/>
      <c r="O163" s="22"/>
      <c r="P163" s="80"/>
      <c r="Q163" s="16"/>
      <c r="R163" s="16"/>
      <c r="S163" s="16"/>
      <c r="T163" s="10"/>
      <c r="U163" s="218"/>
      <c r="V163" s="79"/>
      <c r="W163" s="80"/>
      <c r="X163" s="78"/>
      <c r="Y163" s="79"/>
      <c r="Z163" s="80"/>
      <c r="AA163" s="78"/>
      <c r="AB163" s="79"/>
      <c r="AC163" s="80"/>
      <c r="AD163" s="221"/>
      <c r="AE163" s="105"/>
      <c r="AF163" s="337"/>
    </row>
    <row r="164" spans="1:34" s="21" customFormat="1" ht="14.45" hidden="1" customHeight="1">
      <c r="A164" s="197"/>
      <c r="B164" s="164" t="s">
        <v>298</v>
      </c>
      <c r="C164" s="204">
        <f>SUM(C88:C162)</f>
        <v>5160000000</v>
      </c>
      <c r="D164" s="210"/>
      <c r="E164" s="148"/>
      <c r="F164" s="7"/>
      <c r="G164" s="8"/>
      <c r="H164" s="9"/>
      <c r="I164" s="10"/>
      <c r="J164" s="11"/>
      <c r="K164" s="12"/>
      <c r="L164" s="13"/>
      <c r="M164" s="13"/>
      <c r="N164" s="14"/>
      <c r="O164" s="22"/>
      <c r="P164" s="80"/>
      <c r="Q164" s="16"/>
      <c r="R164" s="16"/>
      <c r="S164" s="16"/>
      <c r="T164" s="10"/>
      <c r="U164" s="218"/>
      <c r="V164" s="79"/>
      <c r="W164" s="80"/>
      <c r="X164" s="78"/>
      <c r="Y164" s="79"/>
      <c r="Z164" s="80"/>
      <c r="AA164" s="78"/>
      <c r="AB164" s="79"/>
      <c r="AC164" s="80"/>
      <c r="AD164" s="221"/>
      <c r="AE164" s="105"/>
      <c r="AF164" s="337"/>
    </row>
    <row r="165" spans="1:34" s="21" customFormat="1" ht="14.45" hidden="1" customHeight="1">
      <c r="A165" s="242"/>
      <c r="B165" s="243"/>
      <c r="C165" s="244"/>
      <c r="D165" s="238"/>
      <c r="E165" s="284"/>
      <c r="F165" s="146"/>
      <c r="G165" s="149"/>
      <c r="H165" s="150"/>
      <c r="I165" s="160"/>
      <c r="J165" s="151"/>
      <c r="K165" s="152"/>
      <c r="L165" s="153"/>
      <c r="M165" s="153"/>
      <c r="N165" s="140"/>
      <c r="O165" s="141"/>
      <c r="P165" s="145"/>
      <c r="Q165" s="142"/>
      <c r="R165" s="142"/>
      <c r="S165" s="142"/>
      <c r="T165" s="160"/>
      <c r="U165" s="239"/>
      <c r="V165" s="144"/>
      <c r="W165" s="145"/>
      <c r="X165" s="143"/>
      <c r="Y165" s="144"/>
      <c r="Z165" s="145"/>
      <c r="AA165" s="143"/>
      <c r="AB165" s="144"/>
      <c r="AC165" s="145"/>
      <c r="AD165" s="240"/>
      <c r="AE165" s="154"/>
      <c r="AF165" s="337"/>
    </row>
    <row r="166" spans="1:34" s="21" customFormat="1" ht="30" hidden="1" customHeight="1">
      <c r="A166" s="285"/>
      <c r="B166" s="286"/>
      <c r="C166" s="287"/>
      <c r="D166" s="288"/>
      <c r="E166" s="289"/>
      <c r="F166" s="245"/>
      <c r="G166" s="245"/>
      <c r="H166" s="246"/>
      <c r="I166" s="247"/>
      <c r="J166" s="290"/>
      <c r="K166" s="291"/>
      <c r="L166" s="292"/>
      <c r="M166" s="292"/>
      <c r="N166" s="248"/>
      <c r="O166" s="249"/>
      <c r="P166" s="250"/>
      <c r="Q166" s="293"/>
      <c r="R166" s="293"/>
      <c r="S166" s="293"/>
      <c r="T166" s="247"/>
      <c r="U166" s="251"/>
      <c r="V166" s="252"/>
      <c r="W166" s="253"/>
      <c r="X166" s="254"/>
      <c r="Y166" s="252"/>
      <c r="Z166" s="253"/>
      <c r="AA166" s="254"/>
      <c r="AB166" s="252"/>
      <c r="AC166" s="253"/>
      <c r="AD166" s="255"/>
      <c r="AE166" s="256"/>
      <c r="AF166" s="341"/>
    </row>
    <row r="167" spans="1:34" s="21" customFormat="1" ht="14.45" customHeight="1">
      <c r="A167" s="294" t="s">
        <v>15</v>
      </c>
      <c r="B167" s="200"/>
      <c r="C167" s="196"/>
      <c r="D167" s="196"/>
      <c r="E167" s="295"/>
      <c r="F167" s="199"/>
      <c r="G167" s="162"/>
      <c r="H167" s="161"/>
      <c r="I167" s="186"/>
      <c r="J167" s="185"/>
      <c r="K167" s="191"/>
      <c r="L167" s="206"/>
      <c r="M167" s="232"/>
      <c r="N167" s="184"/>
      <c r="O167" s="241"/>
      <c r="P167" s="241" t="str">
        <f t="shared" ref="P167" si="32">IF(ISBLANK(N167),"",N167*O167)</f>
        <v/>
      </c>
      <c r="Q167" s="183"/>
      <c r="R167" s="183"/>
      <c r="S167" s="183"/>
      <c r="T167" s="186"/>
      <c r="U167" s="234" t="str">
        <f>IF(ISBLANK(Q167),"",IF(LEFT(T167,2)="一括",IF(T167="一括(検収時)",S167,R167),Q167))</f>
        <v/>
      </c>
      <c r="V167" s="233" t="str">
        <f>IF(ISBLANK(T167),"",L167)</f>
        <v/>
      </c>
      <c r="W167" s="235" t="str">
        <f>IF(ISBLANK(T167),"",IF(LEFT(T167,2)="一括",N167,IF(T167="DP2(30/70%)",N167*0.3,IF(T167="DP3(30/40/30%)",N167*0.3))))</f>
        <v/>
      </c>
      <c r="X167" s="278" t="str">
        <f>IF(LEFT(T167,2)="一括","",IF(T167="DP2(30/70%)",S167,IF(T167="DP3(30/40/30%)",R167,"")))</f>
        <v/>
      </c>
      <c r="Y167" s="233" t="str">
        <f>IF(LEFT(T167,2)="一括","",V167)</f>
        <v/>
      </c>
      <c r="Z167" s="235" t="str">
        <f>IF(ISBLANK(T167),"",IF(LEFT(T167,2)="一括","",IF(T167="DP2(30/70%)",0.7*N167,0.4*N167)))</f>
        <v/>
      </c>
      <c r="AA167" s="278" t="str">
        <f>IF(LEFT(T167,2)="一括","",IF(T167="DP2(30/70%)","",IF(T167="DP3(30/40/30%)",S167,"")))</f>
        <v/>
      </c>
      <c r="AB167" s="233" t="str">
        <f>IF(T167="DP3(30/40/30%)",L167,"")</f>
        <v/>
      </c>
      <c r="AC167" s="235" t="str">
        <f>IF(ISBLANK(T167),"",IF(T167="DP3(30/40/30%)",0.3*N167,""))</f>
        <v/>
      </c>
      <c r="AD167" s="225"/>
      <c r="AE167" s="182"/>
      <c r="AF167" s="337"/>
      <c r="AG167" s="20"/>
    </row>
    <row r="168" spans="1:34" s="21" customFormat="1" ht="19.5" customHeight="1">
      <c r="A168" s="121" t="s">
        <v>222</v>
      </c>
      <c r="B168" s="127" t="s">
        <v>223</v>
      </c>
      <c r="C168" s="330">
        <f>SUM(P168:P169)</f>
        <v>82000000</v>
      </c>
      <c r="D168" s="128"/>
      <c r="E168" s="129">
        <v>1</v>
      </c>
      <c r="F168" s="167" t="s">
        <v>299</v>
      </c>
      <c r="G168" s="8" t="s">
        <v>13</v>
      </c>
      <c r="H168" s="9" t="s">
        <v>5</v>
      </c>
      <c r="I168" s="10">
        <v>1</v>
      </c>
      <c r="J168" s="11" t="s">
        <v>14</v>
      </c>
      <c r="K168" s="12" t="s">
        <v>6</v>
      </c>
      <c r="L168" s="13" t="s">
        <v>7</v>
      </c>
      <c r="M168" s="13">
        <v>19000000</v>
      </c>
      <c r="N168" s="363">
        <v>19000000</v>
      </c>
      <c r="O168" s="330">
        <f>IF(ISBLANK(L168),0,IF(L168="IDR",1,IF(L168="YEN",#REF!,IF(L168="USD",#REF!))))</f>
        <v>1</v>
      </c>
      <c r="P168" s="330">
        <f t="shared" ref="P168:P169" si="33">N168</f>
        <v>19000000</v>
      </c>
      <c r="Q168" s="16">
        <v>202604</v>
      </c>
      <c r="R168" s="16">
        <f>Q168+1</f>
        <v>202605</v>
      </c>
      <c r="S168" s="16">
        <f>R168+1</f>
        <v>202606</v>
      </c>
      <c r="T168" s="10" t="s">
        <v>8</v>
      </c>
      <c r="U168" s="218">
        <f>IF(ISBLANK(Q168),"",IF(LEFT(T168,2)="一括",IF(T168="一括(検収時)",S168,R168),Q168))</f>
        <v>202606</v>
      </c>
      <c r="V168" s="79" t="str">
        <f>IF(ISBLANK(T168),"",L168)</f>
        <v>IDR</v>
      </c>
      <c r="W168" s="80">
        <f>P168</f>
        <v>19000000</v>
      </c>
      <c r="X168" s="78"/>
      <c r="Y168" s="79"/>
      <c r="Z168" s="80"/>
      <c r="AA168" s="78"/>
      <c r="AB168" s="79"/>
      <c r="AC168" s="80"/>
      <c r="AD168" s="221">
        <f>R168</f>
        <v>202605</v>
      </c>
      <c r="AE168" s="105">
        <f t="shared" ref="AE168:AE169" si="34">AD168</f>
        <v>202605</v>
      </c>
      <c r="AF168" s="337"/>
    </row>
    <row r="169" spans="1:34" s="21" customFormat="1" ht="60">
      <c r="A169" s="121"/>
      <c r="B169" s="127"/>
      <c r="C169" s="120"/>
      <c r="D169" s="128"/>
      <c r="E169" s="129">
        <v>2</v>
      </c>
      <c r="F169" s="190" t="s">
        <v>300</v>
      </c>
      <c r="G169" s="8" t="s">
        <v>13</v>
      </c>
      <c r="H169" s="9" t="s">
        <v>5</v>
      </c>
      <c r="I169" s="10">
        <v>3</v>
      </c>
      <c r="J169" s="11" t="s">
        <v>14</v>
      </c>
      <c r="K169" s="12" t="s">
        <v>6</v>
      </c>
      <c r="L169" s="13" t="s">
        <v>7</v>
      </c>
      <c r="M169" s="13">
        <v>63000000</v>
      </c>
      <c r="N169" s="363">
        <v>63000000</v>
      </c>
      <c r="O169" s="330">
        <f>IF(ISBLANK(L169),0,IF(L169="IDR",1,IF(L169="YEN",#REF!,IF(L169="USD",#REF!))))</f>
        <v>1</v>
      </c>
      <c r="P169" s="330">
        <f t="shared" si="33"/>
        <v>63000000</v>
      </c>
      <c r="Q169" s="16">
        <v>202605</v>
      </c>
      <c r="R169" s="16">
        <f t="shared" ref="R169:S214" si="35">Q169+1</f>
        <v>202606</v>
      </c>
      <c r="S169" s="16">
        <f t="shared" si="35"/>
        <v>202607</v>
      </c>
      <c r="T169" s="10" t="s">
        <v>8</v>
      </c>
      <c r="U169" s="218">
        <f>IF(ISBLANK(Q169),"",IF(LEFT(T169,2)="一括",IF(T169="一括(検収時)",S169,R169),Q169))</f>
        <v>202607</v>
      </c>
      <c r="V169" s="79" t="str">
        <f>IF(ISBLANK(T169),"",L169)</f>
        <v>IDR</v>
      </c>
      <c r="W169" s="80">
        <f>P169</f>
        <v>63000000</v>
      </c>
      <c r="X169" s="78"/>
      <c r="Y169" s="79"/>
      <c r="Z169" s="80"/>
      <c r="AA169" s="78"/>
      <c r="AB169" s="79"/>
      <c r="AC169" s="80"/>
      <c r="AD169" s="221">
        <f>R169</f>
        <v>202606</v>
      </c>
      <c r="AE169" s="105">
        <f t="shared" si="34"/>
        <v>202606</v>
      </c>
      <c r="AF169" s="337"/>
    </row>
    <row r="170" spans="1:34" s="21" customFormat="1" ht="14.45" customHeight="1">
      <c r="A170" s="121"/>
      <c r="B170" s="127"/>
      <c r="C170" s="120"/>
      <c r="D170" s="128"/>
      <c r="E170" s="129"/>
      <c r="F170" s="7"/>
      <c r="G170" s="8"/>
      <c r="H170" s="9"/>
      <c r="I170" s="10"/>
      <c r="J170" s="11"/>
      <c r="K170" s="12"/>
      <c r="L170" s="13"/>
      <c r="M170" s="77"/>
      <c r="N170" s="14"/>
      <c r="O170" s="22"/>
      <c r="P170" s="22"/>
      <c r="Q170" s="16"/>
      <c r="R170" s="16"/>
      <c r="S170" s="16"/>
      <c r="T170" s="10"/>
      <c r="U170" s="218"/>
      <c r="V170" s="79"/>
      <c r="W170" s="80"/>
      <c r="X170" s="78"/>
      <c r="Y170" s="79"/>
      <c r="Z170" s="80"/>
      <c r="AA170" s="78"/>
      <c r="AB170" s="79"/>
      <c r="AC170" s="80"/>
      <c r="AD170" s="221"/>
      <c r="AE170" s="105"/>
      <c r="AF170" s="337"/>
    </row>
    <row r="171" spans="1:34" s="21" customFormat="1" ht="14.45" customHeight="1">
      <c r="A171" s="121" t="s">
        <v>224</v>
      </c>
      <c r="B171" s="127" t="s">
        <v>225</v>
      </c>
      <c r="C171" s="120">
        <f>SUM(P171:P179)</f>
        <v>272000000</v>
      </c>
      <c r="D171" s="365" t="s">
        <v>301</v>
      </c>
      <c r="E171" s="129">
        <v>1</v>
      </c>
      <c r="F171" s="270" t="s">
        <v>302</v>
      </c>
      <c r="G171" s="8" t="s">
        <v>13</v>
      </c>
      <c r="H171" s="9" t="s">
        <v>5</v>
      </c>
      <c r="I171" s="10">
        <v>1</v>
      </c>
      <c r="J171" s="11" t="s">
        <v>14</v>
      </c>
      <c r="K171" s="12" t="s">
        <v>6</v>
      </c>
      <c r="L171" s="13" t="s">
        <v>7</v>
      </c>
      <c r="M171" s="77">
        <v>19000000</v>
      </c>
      <c r="N171" s="139">
        <v>19000000</v>
      </c>
      <c r="O171" s="22">
        <f>IF(ISBLANK(L171),0,IF(L171="IDR",1,IF(L171="YEN",#REF!,IF(L171="USD",#REF!))))</f>
        <v>1</v>
      </c>
      <c r="P171" s="331">
        <f t="shared" ref="P171:P172" si="36">N171</f>
        <v>19000000</v>
      </c>
      <c r="Q171" s="16">
        <v>202604</v>
      </c>
      <c r="R171" s="16">
        <f t="shared" si="35"/>
        <v>202605</v>
      </c>
      <c r="S171" s="16">
        <f t="shared" si="35"/>
        <v>202606</v>
      </c>
      <c r="T171" s="10" t="s">
        <v>8</v>
      </c>
      <c r="U171" s="218">
        <f t="shared" ref="U171:U179" si="37">IF(ISBLANK(Q171),"",IF(LEFT(T171,2)="一括",IF(T171="一括(検収時)",S171,R171),Q171))</f>
        <v>202606</v>
      </c>
      <c r="V171" s="79" t="str">
        <f t="shared" ref="V171:V179" si="38">IF(ISBLANK(T171),"",L171)</f>
        <v>IDR</v>
      </c>
      <c r="W171" s="80">
        <f t="shared" ref="W171:W179" si="39">P171</f>
        <v>19000000</v>
      </c>
      <c r="X171" s="78" t="str">
        <f>IF(LEFT(T171,2)="一括","",IF(T171="DP2(30/70%)",S171,IF(T171="DP3(30/40/30%)",R171,"")))</f>
        <v/>
      </c>
      <c r="Y171" s="79" t="str">
        <f>IF(LEFT(T171,2)="一括","",V171)</f>
        <v/>
      </c>
      <c r="Z171" s="80" t="str">
        <f>IF(ISBLANK(T171),"",IF(LEFT(T171,2)="一括","",IF(T171="DP2(30/70%)",0.7*N171,0.4*N171)))</f>
        <v/>
      </c>
      <c r="AA171" s="78" t="str">
        <f>IF(LEFT(T171,2)="一括","",IF(T171="DP2(30/70%)","",IF(T171="DP3(30/40/30%)",S171,"")))</f>
        <v/>
      </c>
      <c r="AB171" s="79" t="str">
        <f>IF(T171="DP3(30/40/30%)",L171,"")</f>
        <v/>
      </c>
      <c r="AC171" s="80" t="str">
        <f>IF(ISBLANK(T171),"",IF(T171="DP3(30/40/30%)",0.3*N171,""))</f>
        <v/>
      </c>
      <c r="AD171" s="221">
        <f t="shared" ref="AD171:AD179" si="40">R171</f>
        <v>202605</v>
      </c>
      <c r="AE171" s="105">
        <f t="shared" ref="AE171:AE179" si="41">AD171</f>
        <v>202605</v>
      </c>
      <c r="AF171" s="337"/>
    </row>
    <row r="172" spans="1:34" s="21" customFormat="1" ht="14.45" customHeight="1">
      <c r="A172" s="121"/>
      <c r="B172" s="127"/>
      <c r="C172" s="120"/>
      <c r="D172" s="366"/>
      <c r="E172" s="129">
        <v>2</v>
      </c>
      <c r="F172" s="270" t="s">
        <v>303</v>
      </c>
      <c r="G172" s="8" t="s">
        <v>13</v>
      </c>
      <c r="H172" s="9" t="s">
        <v>5</v>
      </c>
      <c r="I172" s="10">
        <v>1</v>
      </c>
      <c r="J172" s="11" t="s">
        <v>14</v>
      </c>
      <c r="K172" s="12" t="s">
        <v>6</v>
      </c>
      <c r="L172" s="13" t="s">
        <v>7</v>
      </c>
      <c r="M172" s="77">
        <v>19000000</v>
      </c>
      <c r="N172" s="139">
        <v>19000000</v>
      </c>
      <c r="O172" s="22">
        <f>IF(ISBLANK(L172),0,IF(L172="IDR",1,IF(L172="YEN",#REF!,IF(L172="USD",#REF!))))</f>
        <v>1</v>
      </c>
      <c r="P172" s="331">
        <f t="shared" si="36"/>
        <v>19000000</v>
      </c>
      <c r="Q172" s="16">
        <v>202604</v>
      </c>
      <c r="R172" s="16">
        <f t="shared" si="35"/>
        <v>202605</v>
      </c>
      <c r="S172" s="16">
        <f t="shared" si="35"/>
        <v>202606</v>
      </c>
      <c r="T172" s="10" t="s">
        <v>8</v>
      </c>
      <c r="U172" s="218">
        <f t="shared" si="37"/>
        <v>202606</v>
      </c>
      <c r="V172" s="79" t="str">
        <f t="shared" si="38"/>
        <v>IDR</v>
      </c>
      <c r="W172" s="80">
        <f t="shared" si="39"/>
        <v>19000000</v>
      </c>
      <c r="X172" s="78" t="str">
        <f>IF(LEFT(T172,2)="一括","",IF(T172="DP2(30/70%)",S172,IF(T172="DP3(30/40/30%)",R172,"")))</f>
        <v/>
      </c>
      <c r="Y172" s="79" t="str">
        <f>IF(LEFT(T172,2)="一括","",V172)</f>
        <v/>
      </c>
      <c r="Z172" s="80" t="str">
        <f>IF(ISBLANK(T172),"",IF(LEFT(T172,2)="一括","",IF(T172="DP2(30/70%)",0.7*N172,0.4*N172)))</f>
        <v/>
      </c>
      <c r="AA172" s="78" t="str">
        <f>IF(LEFT(T172,2)="一括","",IF(T172="DP2(30/70%)","",IF(T172="DP3(30/40/30%)",S172,"")))</f>
        <v/>
      </c>
      <c r="AB172" s="79" t="str">
        <f>IF(T172="DP3(30/40/30%)",L172,"")</f>
        <v/>
      </c>
      <c r="AC172" s="80" t="str">
        <f>IF(ISBLANK(T172),"",IF(T172="DP3(30/40/30%)",0.3*N172,""))</f>
        <v/>
      </c>
      <c r="AD172" s="221">
        <f t="shared" si="40"/>
        <v>202605</v>
      </c>
      <c r="AE172" s="105">
        <f t="shared" si="41"/>
        <v>202605</v>
      </c>
      <c r="AF172" s="337"/>
    </row>
    <row r="173" spans="1:34" s="21" customFormat="1" ht="14.45" customHeight="1">
      <c r="A173" s="121"/>
      <c r="B173" s="127"/>
      <c r="C173" s="120"/>
      <c r="D173" s="128"/>
      <c r="E173" s="129">
        <v>3</v>
      </c>
      <c r="F173" s="7" t="s">
        <v>227</v>
      </c>
      <c r="G173" s="8" t="s">
        <v>13</v>
      </c>
      <c r="H173" s="9" t="s">
        <v>5</v>
      </c>
      <c r="I173" s="10">
        <v>1</v>
      </c>
      <c r="J173" s="11" t="s">
        <v>14</v>
      </c>
      <c r="K173" s="12" t="s">
        <v>6</v>
      </c>
      <c r="L173" s="13" t="s">
        <v>7</v>
      </c>
      <c r="M173" s="77">
        <v>50000000</v>
      </c>
      <c r="N173" s="139">
        <v>50000000</v>
      </c>
      <c r="O173" s="22">
        <f>IF(ISBLANK(L173),0,IF(L173="IDR",1,IF(L173="YEN",#REF!,IF(L173="USD",#REF!))))</f>
        <v>1</v>
      </c>
      <c r="P173" s="22">
        <f>N173</f>
        <v>50000000</v>
      </c>
      <c r="Q173" s="16">
        <v>202701</v>
      </c>
      <c r="R173" s="16">
        <f t="shared" si="35"/>
        <v>202702</v>
      </c>
      <c r="S173" s="16">
        <f t="shared" si="35"/>
        <v>202703</v>
      </c>
      <c r="T173" s="10" t="s">
        <v>8</v>
      </c>
      <c r="U173" s="218">
        <f t="shared" si="37"/>
        <v>202703</v>
      </c>
      <c r="V173" s="79" t="str">
        <f t="shared" si="38"/>
        <v>IDR</v>
      </c>
      <c r="W173" s="80">
        <f t="shared" si="39"/>
        <v>50000000</v>
      </c>
      <c r="X173" s="78" t="str">
        <f>IF(LEFT(T173,2)="一括","",IF(T173="DP2(30/70%)",S173,IF(T173="DP3(30/40/30%)",R173,"")))</f>
        <v/>
      </c>
      <c r="Y173" s="79" t="str">
        <f>IF(LEFT(T173,2)="一括","",V173)</f>
        <v/>
      </c>
      <c r="Z173" s="80" t="str">
        <f>IF(ISBLANK(T173),"",IF(LEFT(T173,2)="一括","",IF(T173="DP2(30/70%)",0.7*N173,0.4*N173)))</f>
        <v/>
      </c>
      <c r="AA173" s="78" t="str">
        <f>IF(LEFT(T173,2)="一括","",IF(T173="DP2(30/70%)","",IF(T173="DP3(30/40/30%)",S173,"")))</f>
        <v/>
      </c>
      <c r="AB173" s="79" t="str">
        <f>IF(T173="DP3(30/40/30%)",L173,"")</f>
        <v/>
      </c>
      <c r="AC173" s="80" t="str">
        <f>IF(ISBLANK(T173),"",IF(T173="DP3(30/40/30%)",0.3*N173,""))</f>
        <v/>
      </c>
      <c r="AD173" s="221">
        <f t="shared" si="40"/>
        <v>202702</v>
      </c>
      <c r="AE173" s="105">
        <f t="shared" si="41"/>
        <v>202702</v>
      </c>
      <c r="AF173" s="337"/>
    </row>
    <row r="174" spans="1:34" s="21" customFormat="1" ht="14.45" customHeight="1">
      <c r="A174" s="121"/>
      <c r="B174" s="127"/>
      <c r="C174" s="120"/>
      <c r="D174" s="128"/>
      <c r="E174" s="129">
        <v>4</v>
      </c>
      <c r="F174" s="7" t="s">
        <v>228</v>
      </c>
      <c r="G174" s="8" t="s">
        <v>13</v>
      </c>
      <c r="H174" s="9" t="s">
        <v>5</v>
      </c>
      <c r="I174" s="10">
        <v>1</v>
      </c>
      <c r="J174" s="11" t="s">
        <v>14</v>
      </c>
      <c r="K174" s="12" t="s">
        <v>6</v>
      </c>
      <c r="L174" s="13" t="s">
        <v>7</v>
      </c>
      <c r="M174" s="77">
        <v>50000000</v>
      </c>
      <c r="N174" s="139">
        <v>50000000</v>
      </c>
      <c r="O174" s="22">
        <f>IF(ISBLANK(L174),0,IF(L174="IDR",1,IF(L174="YEN",#REF!,IF(L174="USD",#REF!))))</f>
        <v>1</v>
      </c>
      <c r="P174" s="22">
        <f t="shared" ref="P174:P179" si="42">N174</f>
        <v>50000000</v>
      </c>
      <c r="Q174" s="16">
        <v>202701</v>
      </c>
      <c r="R174" s="16">
        <f t="shared" si="35"/>
        <v>202702</v>
      </c>
      <c r="S174" s="16">
        <f t="shared" si="35"/>
        <v>202703</v>
      </c>
      <c r="T174" s="10" t="s">
        <v>8</v>
      </c>
      <c r="U174" s="218">
        <f t="shared" si="37"/>
        <v>202703</v>
      </c>
      <c r="V174" s="79" t="str">
        <f t="shared" si="38"/>
        <v>IDR</v>
      </c>
      <c r="W174" s="80">
        <f t="shared" si="39"/>
        <v>50000000</v>
      </c>
      <c r="X174" s="78" t="str">
        <f>IF(LEFT(T174,2)="一括","",IF(T174="DP2(30/70%)",S174,IF(T174="DP3(30/40/30%)",R174,"")))</f>
        <v/>
      </c>
      <c r="Y174" s="79" t="str">
        <f>IF(LEFT(T174,2)="一括","",V174)</f>
        <v/>
      </c>
      <c r="Z174" s="80" t="str">
        <f>IF(ISBLANK(T174),"",IF(LEFT(T174,2)="一括","",IF(T174="DP2(30/70%)",0.7*N174,0.4*N174)))</f>
        <v/>
      </c>
      <c r="AA174" s="78" t="str">
        <f>IF(LEFT(T174,2)="一括","",IF(T174="DP2(30/70%)","",IF(T174="DP3(30/40/30%)",S174,"")))</f>
        <v/>
      </c>
      <c r="AB174" s="79" t="str">
        <f>IF(T174="DP3(30/40/30%)",L174,"")</f>
        <v/>
      </c>
      <c r="AC174" s="80" t="str">
        <f>IF(ISBLANK(T174),"",IF(T174="DP3(30/40/30%)",0.3*N174,""))</f>
        <v/>
      </c>
      <c r="AD174" s="221">
        <f t="shared" si="40"/>
        <v>202702</v>
      </c>
      <c r="AE174" s="105">
        <f t="shared" si="41"/>
        <v>202702</v>
      </c>
      <c r="AF174" s="337"/>
    </row>
    <row r="175" spans="1:34" s="21" customFormat="1" ht="14.45" customHeight="1">
      <c r="A175" s="121"/>
      <c r="B175" s="127"/>
      <c r="C175" s="120"/>
      <c r="D175" s="128"/>
      <c r="E175" s="129">
        <v>5</v>
      </c>
      <c r="F175" s="7" t="s">
        <v>229</v>
      </c>
      <c r="G175" s="8" t="s">
        <v>13</v>
      </c>
      <c r="H175" s="9" t="s">
        <v>5</v>
      </c>
      <c r="I175" s="10">
        <v>1</v>
      </c>
      <c r="J175" s="11" t="s">
        <v>14</v>
      </c>
      <c r="K175" s="12" t="s">
        <v>6</v>
      </c>
      <c r="L175" s="13" t="s">
        <v>7</v>
      </c>
      <c r="M175" s="77">
        <v>21000000</v>
      </c>
      <c r="N175" s="139">
        <v>21000000</v>
      </c>
      <c r="O175" s="22">
        <f>IF(ISBLANK(L175),0,IF(L175="IDR",1,IF(L175="YEN",#REF!,IF(L175="USD",#REF!))))</f>
        <v>1</v>
      </c>
      <c r="P175" s="22">
        <f t="shared" si="42"/>
        <v>21000000</v>
      </c>
      <c r="Q175" s="16">
        <v>202701</v>
      </c>
      <c r="R175" s="16">
        <f t="shared" si="35"/>
        <v>202702</v>
      </c>
      <c r="S175" s="16">
        <f t="shared" si="35"/>
        <v>202703</v>
      </c>
      <c r="T175" s="10" t="s">
        <v>8</v>
      </c>
      <c r="U175" s="218">
        <f t="shared" si="37"/>
        <v>202703</v>
      </c>
      <c r="V175" s="79" t="str">
        <f t="shared" si="38"/>
        <v>IDR</v>
      </c>
      <c r="W175" s="80">
        <f t="shared" si="39"/>
        <v>21000000</v>
      </c>
      <c r="X175" s="78"/>
      <c r="Y175" s="79"/>
      <c r="Z175" s="80"/>
      <c r="AA175" s="78"/>
      <c r="AB175" s="79"/>
      <c r="AC175" s="80"/>
      <c r="AD175" s="221">
        <f t="shared" si="40"/>
        <v>202702</v>
      </c>
      <c r="AE175" s="105">
        <f t="shared" si="41"/>
        <v>202702</v>
      </c>
      <c r="AF175" s="337"/>
    </row>
    <row r="176" spans="1:34" s="21" customFormat="1" ht="14.45" customHeight="1">
      <c r="A176" s="121"/>
      <c r="B176" s="127"/>
      <c r="C176" s="120"/>
      <c r="D176" s="128"/>
      <c r="E176" s="129">
        <v>6</v>
      </c>
      <c r="F176" s="7" t="s">
        <v>304</v>
      </c>
      <c r="G176" s="8" t="s">
        <v>13</v>
      </c>
      <c r="H176" s="9" t="s">
        <v>5</v>
      </c>
      <c r="I176" s="10">
        <v>1</v>
      </c>
      <c r="J176" s="11" t="s">
        <v>14</v>
      </c>
      <c r="K176" s="12" t="s">
        <v>6</v>
      </c>
      <c r="L176" s="13" t="s">
        <v>7</v>
      </c>
      <c r="M176" s="77">
        <v>21000000</v>
      </c>
      <c r="N176" s="139">
        <v>21000000</v>
      </c>
      <c r="O176" s="22">
        <f>IF(ISBLANK(L176),0,IF(L176="IDR",1,IF(L176="YEN",#REF!,IF(L176="USD",#REF!))))</f>
        <v>1</v>
      </c>
      <c r="P176" s="22">
        <f t="shared" si="42"/>
        <v>21000000</v>
      </c>
      <c r="Q176" s="16">
        <v>202702</v>
      </c>
      <c r="R176" s="16">
        <f t="shared" si="35"/>
        <v>202703</v>
      </c>
      <c r="S176" s="16">
        <f t="shared" si="35"/>
        <v>202704</v>
      </c>
      <c r="T176" s="10" t="s">
        <v>8</v>
      </c>
      <c r="U176" s="218">
        <f t="shared" si="37"/>
        <v>202704</v>
      </c>
      <c r="V176" s="79" t="str">
        <f t="shared" si="38"/>
        <v>IDR</v>
      </c>
      <c r="W176" s="80">
        <f t="shared" si="39"/>
        <v>21000000</v>
      </c>
      <c r="X176" s="78"/>
      <c r="Y176" s="79"/>
      <c r="Z176" s="80"/>
      <c r="AA176" s="78"/>
      <c r="AB176" s="79"/>
      <c r="AC176" s="80"/>
      <c r="AD176" s="221">
        <f t="shared" si="40"/>
        <v>202703</v>
      </c>
      <c r="AE176" s="105">
        <f t="shared" si="41"/>
        <v>202703</v>
      </c>
      <c r="AF176" s="337"/>
    </row>
    <row r="177" spans="1:32" s="21" customFormat="1" ht="14.45" customHeight="1">
      <c r="A177" s="121"/>
      <c r="B177" s="127"/>
      <c r="C177" s="120"/>
      <c r="D177" s="128"/>
      <c r="E177" s="129">
        <v>7</v>
      </c>
      <c r="F177" s="7" t="s">
        <v>230</v>
      </c>
      <c r="G177" s="8" t="s">
        <v>13</v>
      </c>
      <c r="H177" s="9" t="s">
        <v>5</v>
      </c>
      <c r="I177" s="10">
        <v>1</v>
      </c>
      <c r="J177" s="11" t="s">
        <v>14</v>
      </c>
      <c r="K177" s="12" t="s">
        <v>6</v>
      </c>
      <c r="L177" s="13" t="s">
        <v>7</v>
      </c>
      <c r="M177" s="77">
        <v>21000000</v>
      </c>
      <c r="N177" s="139">
        <v>21000000</v>
      </c>
      <c r="O177" s="22">
        <f>IF(ISBLANK(L177),0,IF(L177="IDR",1,IF(L177="YEN",#REF!,IF(L177="USD",#REF!))))</f>
        <v>1</v>
      </c>
      <c r="P177" s="22">
        <f t="shared" si="42"/>
        <v>21000000</v>
      </c>
      <c r="Q177" s="16">
        <v>202702</v>
      </c>
      <c r="R177" s="16">
        <f t="shared" si="35"/>
        <v>202703</v>
      </c>
      <c r="S177" s="16">
        <f t="shared" si="35"/>
        <v>202704</v>
      </c>
      <c r="T177" s="10" t="s">
        <v>8</v>
      </c>
      <c r="U177" s="218">
        <f t="shared" si="37"/>
        <v>202704</v>
      </c>
      <c r="V177" s="79" t="str">
        <f t="shared" si="38"/>
        <v>IDR</v>
      </c>
      <c r="W177" s="80">
        <f t="shared" si="39"/>
        <v>21000000</v>
      </c>
      <c r="X177" s="78"/>
      <c r="Y177" s="79"/>
      <c r="Z177" s="80"/>
      <c r="AA177" s="78"/>
      <c r="AB177" s="79"/>
      <c r="AC177" s="80"/>
      <c r="AD177" s="221">
        <f t="shared" si="40"/>
        <v>202703</v>
      </c>
      <c r="AE177" s="105">
        <f t="shared" si="41"/>
        <v>202703</v>
      </c>
      <c r="AF177" s="337"/>
    </row>
    <row r="178" spans="1:32" s="21" customFormat="1" ht="14.45" customHeight="1">
      <c r="A178" s="121"/>
      <c r="B178" s="127"/>
      <c r="C178" s="120"/>
      <c r="D178" s="128"/>
      <c r="E178" s="129">
        <v>8</v>
      </c>
      <c r="F178" s="7" t="s">
        <v>231</v>
      </c>
      <c r="G178" s="8" t="s">
        <v>13</v>
      </c>
      <c r="H178" s="9" t="s">
        <v>5</v>
      </c>
      <c r="I178" s="10">
        <v>1</v>
      </c>
      <c r="J178" s="11" t="s">
        <v>14</v>
      </c>
      <c r="K178" s="12" t="s">
        <v>6</v>
      </c>
      <c r="L178" s="13" t="s">
        <v>7</v>
      </c>
      <c r="M178" s="77">
        <v>50000000</v>
      </c>
      <c r="N178" s="139">
        <v>50000000</v>
      </c>
      <c r="O178" s="22">
        <f>IF(ISBLANK(L178),0,IF(L178="IDR",1,IF(L178="YEN",#REF!,IF(L178="USD",#REF!))))</f>
        <v>1</v>
      </c>
      <c r="P178" s="22">
        <f t="shared" si="42"/>
        <v>50000000</v>
      </c>
      <c r="Q178" s="16">
        <v>202702</v>
      </c>
      <c r="R178" s="16">
        <f t="shared" si="35"/>
        <v>202703</v>
      </c>
      <c r="S178" s="16">
        <f t="shared" si="35"/>
        <v>202704</v>
      </c>
      <c r="T178" s="10" t="s">
        <v>8</v>
      </c>
      <c r="U178" s="218">
        <f t="shared" si="37"/>
        <v>202704</v>
      </c>
      <c r="V178" s="79" t="str">
        <f t="shared" si="38"/>
        <v>IDR</v>
      </c>
      <c r="W178" s="80">
        <f t="shared" si="39"/>
        <v>50000000</v>
      </c>
      <c r="X178" s="78" t="str">
        <f>IF(LEFT(T178,2)="一括","",IF(T178="DP2(30/70%)",S178,IF(T178="DP3(30/40/30%)",R178,"")))</f>
        <v/>
      </c>
      <c r="Y178" s="79" t="str">
        <f>IF(LEFT(T178,2)="一括","",V178)</f>
        <v/>
      </c>
      <c r="Z178" s="80" t="str">
        <f>IF(ISBLANK(T178),"",IF(LEFT(T178,2)="一括","",IF(T178="DP2(30/70%)",0.7*N178,0.4*N178)))</f>
        <v/>
      </c>
      <c r="AA178" s="78" t="str">
        <f>IF(LEFT(T178,2)="一括","",IF(T178="DP2(30/70%)","",IF(T178="DP3(30/40/30%)",S178,"")))</f>
        <v/>
      </c>
      <c r="AB178" s="79" t="str">
        <f>IF(T178="DP3(30/40/30%)",L178,"")</f>
        <v/>
      </c>
      <c r="AC178" s="80" t="str">
        <f>IF(ISBLANK(T178),"",IF(T178="DP3(30/40/30%)",0.3*N178,""))</f>
        <v/>
      </c>
      <c r="AD178" s="221">
        <f t="shared" si="40"/>
        <v>202703</v>
      </c>
      <c r="AE178" s="105">
        <f t="shared" si="41"/>
        <v>202703</v>
      </c>
      <c r="AF178" s="337"/>
    </row>
    <row r="179" spans="1:32" s="21" customFormat="1" ht="14.45" customHeight="1">
      <c r="A179" s="121"/>
      <c r="B179" s="127"/>
      <c r="C179" s="120"/>
      <c r="D179" s="128"/>
      <c r="E179" s="129">
        <v>9</v>
      </c>
      <c r="F179" s="7" t="s">
        <v>305</v>
      </c>
      <c r="G179" s="8" t="s">
        <v>13</v>
      </c>
      <c r="H179" s="9" t="s">
        <v>5</v>
      </c>
      <c r="I179" s="10">
        <v>1</v>
      </c>
      <c r="J179" s="11" t="s">
        <v>14</v>
      </c>
      <c r="K179" s="12" t="s">
        <v>6</v>
      </c>
      <c r="L179" s="13" t="s">
        <v>7</v>
      </c>
      <c r="M179" s="77">
        <v>21000000</v>
      </c>
      <c r="N179" s="139">
        <v>21000000</v>
      </c>
      <c r="O179" s="22">
        <f>IF(ISBLANK(L179),0,IF(L179="IDR",1,IF(L179="YEN",#REF!,IF(L179="USD",#REF!))))</f>
        <v>1</v>
      </c>
      <c r="P179" s="22">
        <f t="shared" si="42"/>
        <v>21000000</v>
      </c>
      <c r="Q179" s="16">
        <v>202703</v>
      </c>
      <c r="R179" s="16">
        <f t="shared" si="35"/>
        <v>202704</v>
      </c>
      <c r="S179" s="16">
        <f t="shared" si="35"/>
        <v>202705</v>
      </c>
      <c r="T179" s="10" t="s">
        <v>8</v>
      </c>
      <c r="U179" s="218">
        <f t="shared" si="37"/>
        <v>202705</v>
      </c>
      <c r="V179" s="79" t="str">
        <f t="shared" si="38"/>
        <v>IDR</v>
      </c>
      <c r="W179" s="80">
        <f t="shared" si="39"/>
        <v>21000000</v>
      </c>
      <c r="X179" s="78" t="str">
        <f>IF(LEFT(T179,2)="一括","",IF(T179="DP2(30/70%)",S179,IF(T179="DP3(30/40/30%)",R179,"")))</f>
        <v/>
      </c>
      <c r="Y179" s="79" t="str">
        <f>IF(LEFT(T179,2)="一括","",V179)</f>
        <v/>
      </c>
      <c r="Z179" s="80" t="str">
        <f>IF(ISBLANK(T179),"",IF(LEFT(T179,2)="一括","",IF(T179="DP2(30/70%)",0.7*N179,0.4*N179)))</f>
        <v/>
      </c>
      <c r="AA179" s="78" t="str">
        <f>IF(LEFT(T179,2)="一括","",IF(T179="DP2(30/70%)","",IF(T179="DP3(30/40/30%)",S179,"")))</f>
        <v/>
      </c>
      <c r="AB179" s="79" t="str">
        <f>IF(T179="DP3(30/40/30%)",L179,"")</f>
        <v/>
      </c>
      <c r="AC179" s="80" t="str">
        <f>IF(ISBLANK(T179),"",IF(T179="DP3(30/40/30%)",0.3*N179,""))</f>
        <v/>
      </c>
      <c r="AD179" s="221">
        <f t="shared" si="40"/>
        <v>202704</v>
      </c>
      <c r="AE179" s="105">
        <f t="shared" si="41"/>
        <v>202704</v>
      </c>
      <c r="AF179" s="337"/>
    </row>
    <row r="180" spans="1:32" s="21" customFormat="1" ht="14.45" customHeight="1">
      <c r="A180" s="121"/>
      <c r="B180" s="127"/>
      <c r="C180" s="120"/>
      <c r="D180" s="128"/>
      <c r="E180" s="129"/>
      <c r="F180" s="7"/>
      <c r="G180" s="8"/>
      <c r="H180" s="9"/>
      <c r="I180" s="10"/>
      <c r="J180" s="11"/>
      <c r="K180" s="12"/>
      <c r="L180" s="13"/>
      <c r="M180" s="77"/>
      <c r="N180" s="14"/>
      <c r="O180" s="22"/>
      <c r="P180" s="22"/>
      <c r="Q180" s="16"/>
      <c r="R180" s="16"/>
      <c r="S180" s="16"/>
      <c r="T180" s="10"/>
      <c r="U180" s="218"/>
      <c r="V180" s="79"/>
      <c r="W180" s="80"/>
      <c r="X180" s="78"/>
      <c r="Y180" s="79"/>
      <c r="Z180" s="80"/>
      <c r="AA180" s="78"/>
      <c r="AB180" s="79"/>
      <c r="AC180" s="80"/>
      <c r="AD180" s="221"/>
      <c r="AE180" s="105"/>
      <c r="AF180" s="337"/>
    </row>
    <row r="181" spans="1:32" s="21" customFormat="1" ht="14.45" customHeight="1">
      <c r="A181" s="121"/>
      <c r="B181" s="127"/>
      <c r="C181" s="120"/>
      <c r="D181" s="128"/>
      <c r="E181" s="129"/>
      <c r="F181" s="7"/>
      <c r="G181" s="8"/>
      <c r="H181" s="9"/>
      <c r="I181" s="10"/>
      <c r="J181" s="11"/>
      <c r="K181" s="12"/>
      <c r="L181" s="13"/>
      <c r="M181" s="77"/>
      <c r="N181" s="14"/>
      <c r="O181" s="22"/>
      <c r="P181" s="22"/>
      <c r="Q181" s="16"/>
      <c r="R181" s="16"/>
      <c r="S181" s="16"/>
      <c r="T181" s="10"/>
      <c r="U181" s="218"/>
      <c r="V181" s="79"/>
      <c r="W181" s="80"/>
      <c r="X181" s="78"/>
      <c r="Y181" s="79"/>
      <c r="Z181" s="80"/>
      <c r="AA181" s="78"/>
      <c r="AB181" s="79"/>
      <c r="AC181" s="80"/>
      <c r="AD181" s="221"/>
      <c r="AE181" s="105"/>
      <c r="AF181" s="337"/>
    </row>
    <row r="182" spans="1:32" s="175" customFormat="1" ht="15.75" customHeight="1">
      <c r="A182" s="165" t="s">
        <v>232</v>
      </c>
      <c r="B182" s="163" t="s">
        <v>158</v>
      </c>
      <c r="C182" s="207">
        <f>SUM(P182:P200)</f>
        <v>959000000</v>
      </c>
      <c r="D182" s="211"/>
      <c r="E182" s="296">
        <v>1</v>
      </c>
      <c r="F182" s="8" t="s">
        <v>306</v>
      </c>
      <c r="G182" s="190" t="s">
        <v>13</v>
      </c>
      <c r="H182" s="189" t="s">
        <v>5</v>
      </c>
      <c r="I182" s="188">
        <v>2</v>
      </c>
      <c r="J182" s="187" t="s">
        <v>14</v>
      </c>
      <c r="K182" s="181" t="s">
        <v>6</v>
      </c>
      <c r="L182" s="180" t="s">
        <v>7</v>
      </c>
      <c r="M182" s="180">
        <v>46000000</v>
      </c>
      <c r="N182" s="361">
        <v>46000000</v>
      </c>
      <c r="O182" s="362">
        <f>IF(ISBLANK(L182),0,IF(L182="IDR",1,IF(L182="YEN",#REF!,IF(L182="USD",#REF!))))</f>
        <v>1</v>
      </c>
      <c r="P182" s="362">
        <f t="shared" ref="P182:P223" si="43">IF(ISBLANK(N182),"",N182*O182)</f>
        <v>46000000</v>
      </c>
      <c r="Q182" s="16">
        <v>202604</v>
      </c>
      <c r="R182" s="16">
        <f t="shared" si="35"/>
        <v>202605</v>
      </c>
      <c r="S182" s="16">
        <f t="shared" si="35"/>
        <v>202606</v>
      </c>
      <c r="T182" s="188" t="s">
        <v>8</v>
      </c>
      <c r="U182" s="298">
        <f t="shared" ref="U182:U200" si="44">IF(ISBLANK(Q182),"",IF(LEFT(T182,2)="一括",IF(T182="一括(検収時)",S182,R182),Q182))</f>
        <v>202606</v>
      </c>
      <c r="V182" s="299" t="str">
        <f t="shared" ref="V182:V200" si="45">IF(ISBLANK(T182),"",L182)</f>
        <v>IDR</v>
      </c>
      <c r="W182" s="300">
        <f t="shared" ref="W182:W200" si="46">P182</f>
        <v>46000000</v>
      </c>
      <c r="X182" s="301"/>
      <c r="Y182" s="299"/>
      <c r="Z182" s="300"/>
      <c r="AA182" s="301"/>
      <c r="AB182" s="299"/>
      <c r="AC182" s="300"/>
      <c r="AD182" s="226">
        <f t="shared" ref="AD182:AD200" si="47">R182</f>
        <v>202605</v>
      </c>
      <c r="AE182" s="105">
        <f t="shared" ref="AE182:AE200" si="48">AD182</f>
        <v>202605</v>
      </c>
      <c r="AF182" s="337"/>
    </row>
    <row r="183" spans="1:32" s="175" customFormat="1">
      <c r="A183" s="165"/>
      <c r="B183" s="163"/>
      <c r="C183" s="207"/>
      <c r="D183" s="211"/>
      <c r="E183" s="129">
        <v>2</v>
      </c>
      <c r="F183" s="8" t="s">
        <v>307</v>
      </c>
      <c r="G183" s="190" t="s">
        <v>13</v>
      </c>
      <c r="H183" s="189" t="s">
        <v>5</v>
      </c>
      <c r="I183" s="188">
        <v>2</v>
      </c>
      <c r="J183" s="187" t="s">
        <v>14</v>
      </c>
      <c r="K183" s="181" t="s">
        <v>6</v>
      </c>
      <c r="L183" s="180" t="s">
        <v>7</v>
      </c>
      <c r="M183" s="180">
        <v>46000000</v>
      </c>
      <c r="N183" s="361">
        <v>46000000</v>
      </c>
      <c r="O183" s="362">
        <v>1</v>
      </c>
      <c r="P183" s="362">
        <f t="shared" si="43"/>
        <v>46000000</v>
      </c>
      <c r="Q183" s="177">
        <v>202605</v>
      </c>
      <c r="R183" s="16">
        <f t="shared" si="35"/>
        <v>202606</v>
      </c>
      <c r="S183" s="16">
        <f t="shared" si="35"/>
        <v>202607</v>
      </c>
      <c r="T183" s="188" t="s">
        <v>8</v>
      </c>
      <c r="U183" s="298">
        <f t="shared" si="44"/>
        <v>202607</v>
      </c>
      <c r="V183" s="299" t="str">
        <f t="shared" si="45"/>
        <v>IDR</v>
      </c>
      <c r="W183" s="300">
        <f t="shared" si="46"/>
        <v>46000000</v>
      </c>
      <c r="X183" s="301"/>
      <c r="Y183" s="299"/>
      <c r="Z183" s="300"/>
      <c r="AA183" s="301"/>
      <c r="AB183" s="299"/>
      <c r="AC183" s="300"/>
      <c r="AD183" s="226">
        <f t="shared" si="47"/>
        <v>202606</v>
      </c>
      <c r="AE183" s="105">
        <f t="shared" si="48"/>
        <v>202606</v>
      </c>
      <c r="AF183" s="337"/>
    </row>
    <row r="184" spans="1:32" s="175" customFormat="1">
      <c r="A184" s="165"/>
      <c r="B184" s="163"/>
      <c r="C184" s="207"/>
      <c r="D184" s="211"/>
      <c r="E184" s="296">
        <v>3</v>
      </c>
      <c r="F184" s="8" t="s">
        <v>308</v>
      </c>
      <c r="G184" s="190" t="s">
        <v>13</v>
      </c>
      <c r="H184" s="189" t="s">
        <v>5</v>
      </c>
      <c r="I184" s="188">
        <v>2</v>
      </c>
      <c r="J184" s="187" t="s">
        <v>14</v>
      </c>
      <c r="K184" s="181" t="s">
        <v>6</v>
      </c>
      <c r="L184" s="180" t="s">
        <v>7</v>
      </c>
      <c r="M184" s="180">
        <v>46000000</v>
      </c>
      <c r="N184" s="361">
        <v>46000000</v>
      </c>
      <c r="O184" s="362">
        <v>1</v>
      </c>
      <c r="P184" s="362">
        <f t="shared" si="43"/>
        <v>46000000</v>
      </c>
      <c r="Q184" s="177">
        <v>202606</v>
      </c>
      <c r="R184" s="16">
        <f t="shared" si="35"/>
        <v>202607</v>
      </c>
      <c r="S184" s="16">
        <f t="shared" si="35"/>
        <v>202608</v>
      </c>
      <c r="T184" s="188" t="s">
        <v>8</v>
      </c>
      <c r="U184" s="298">
        <f t="shared" si="44"/>
        <v>202608</v>
      </c>
      <c r="V184" s="299" t="str">
        <f t="shared" si="45"/>
        <v>IDR</v>
      </c>
      <c r="W184" s="300">
        <f t="shared" si="46"/>
        <v>46000000</v>
      </c>
      <c r="X184" s="301"/>
      <c r="Y184" s="299"/>
      <c r="Z184" s="300"/>
      <c r="AA184" s="301"/>
      <c r="AB184" s="299"/>
      <c r="AC184" s="300"/>
      <c r="AD184" s="226">
        <f t="shared" si="47"/>
        <v>202607</v>
      </c>
      <c r="AE184" s="105">
        <f t="shared" si="48"/>
        <v>202607</v>
      </c>
      <c r="AF184" s="337"/>
    </row>
    <row r="185" spans="1:32" s="175" customFormat="1">
      <c r="A185" s="165"/>
      <c r="B185" s="163"/>
      <c r="C185" s="207"/>
      <c r="D185" s="211"/>
      <c r="E185" s="296">
        <v>4</v>
      </c>
      <c r="F185" s="8" t="s">
        <v>309</v>
      </c>
      <c r="G185" s="190" t="s">
        <v>13</v>
      </c>
      <c r="H185" s="189" t="s">
        <v>5</v>
      </c>
      <c r="I185" s="188">
        <v>2</v>
      </c>
      <c r="J185" s="187" t="s">
        <v>14</v>
      </c>
      <c r="K185" s="181" t="s">
        <v>6</v>
      </c>
      <c r="L185" s="180" t="s">
        <v>7</v>
      </c>
      <c r="M185" s="180">
        <v>46000000</v>
      </c>
      <c r="N185" s="361">
        <v>46000000</v>
      </c>
      <c r="O185" s="362">
        <v>1</v>
      </c>
      <c r="P185" s="362">
        <f t="shared" si="43"/>
        <v>46000000</v>
      </c>
      <c r="Q185" s="177">
        <v>202607</v>
      </c>
      <c r="R185" s="16">
        <f t="shared" si="35"/>
        <v>202608</v>
      </c>
      <c r="S185" s="16">
        <f t="shared" si="35"/>
        <v>202609</v>
      </c>
      <c r="T185" s="188" t="s">
        <v>8</v>
      </c>
      <c r="U185" s="298">
        <f t="shared" si="44"/>
        <v>202609</v>
      </c>
      <c r="V185" s="299" t="str">
        <f t="shared" si="45"/>
        <v>IDR</v>
      </c>
      <c r="W185" s="300">
        <f t="shared" si="46"/>
        <v>46000000</v>
      </c>
      <c r="X185" s="301"/>
      <c r="Y185" s="299"/>
      <c r="Z185" s="300"/>
      <c r="AA185" s="301"/>
      <c r="AB185" s="299"/>
      <c r="AC185" s="300"/>
      <c r="AD185" s="226">
        <f t="shared" si="47"/>
        <v>202608</v>
      </c>
      <c r="AE185" s="105">
        <f t="shared" si="48"/>
        <v>202608</v>
      </c>
      <c r="AF185" s="337"/>
    </row>
    <row r="186" spans="1:32" s="175" customFormat="1">
      <c r="A186" s="165"/>
      <c r="B186" s="163"/>
      <c r="C186" s="207"/>
      <c r="D186" s="211"/>
      <c r="E186" s="129">
        <v>5</v>
      </c>
      <c r="F186" s="8" t="s">
        <v>310</v>
      </c>
      <c r="G186" s="190" t="s">
        <v>13</v>
      </c>
      <c r="H186" s="189" t="s">
        <v>5</v>
      </c>
      <c r="I186" s="188">
        <v>2</v>
      </c>
      <c r="J186" s="187" t="s">
        <v>14</v>
      </c>
      <c r="K186" s="181" t="s">
        <v>6</v>
      </c>
      <c r="L186" s="180" t="s">
        <v>7</v>
      </c>
      <c r="M186" s="180">
        <v>46000000</v>
      </c>
      <c r="N186" s="361">
        <v>46000000</v>
      </c>
      <c r="O186" s="362">
        <f>IF(ISBLANK(L186),0,IF(L186="IDR",1,IF(L186="YEN",#REF!,IF(L186="USD",#REF!))))</f>
        <v>1</v>
      </c>
      <c r="P186" s="362">
        <f t="shared" si="43"/>
        <v>46000000</v>
      </c>
      <c r="Q186" s="177">
        <v>202608</v>
      </c>
      <c r="R186" s="16">
        <f t="shared" si="35"/>
        <v>202609</v>
      </c>
      <c r="S186" s="16">
        <f t="shared" si="35"/>
        <v>202610</v>
      </c>
      <c r="T186" s="188" t="s">
        <v>8</v>
      </c>
      <c r="U186" s="298">
        <f t="shared" si="44"/>
        <v>202610</v>
      </c>
      <c r="V186" s="299" t="str">
        <f t="shared" si="45"/>
        <v>IDR</v>
      </c>
      <c r="W186" s="300">
        <f t="shared" si="46"/>
        <v>46000000</v>
      </c>
      <c r="X186" s="301" t="str">
        <f t="shared" ref="X186:X200" si="49">IF(LEFT(T186,2)="一括","",IF(T186="DP2(30/70%)",S186,IF(T186="DP3(30/40/30%)",R186,"")))</f>
        <v/>
      </c>
      <c r="Y186" s="299" t="str">
        <f t="shared" ref="Y186:Y200" si="50">IF(LEFT(T186,2)="一括","",V186)</f>
        <v/>
      </c>
      <c r="Z186" s="300" t="str">
        <f t="shared" ref="Z186:Z200" si="51">IF(ISBLANK(T186),"",IF(LEFT(T186,2)="一括","",IF(T186="DP2(30/70%)",0.7*N186,0.4*N186)))</f>
        <v/>
      </c>
      <c r="AA186" s="301" t="str">
        <f t="shared" ref="AA186:AA200" si="52">IF(LEFT(T186,2)="一括","",IF(T186="DP2(30/70%)","",IF(T186="DP3(30/40/30%)",S186,"")))</f>
        <v/>
      </c>
      <c r="AB186" s="299" t="str">
        <f t="shared" ref="AB186:AB200" si="53">IF(T186="DP3(30/40/30%)",L186,"")</f>
        <v/>
      </c>
      <c r="AC186" s="300" t="str">
        <f t="shared" ref="AC186:AC200" si="54">IF(ISBLANK(T186),"",IF(T186="DP3(30/40/30%)",0.3*N186,""))</f>
        <v/>
      </c>
      <c r="AD186" s="226">
        <f t="shared" si="47"/>
        <v>202609</v>
      </c>
      <c r="AE186" s="105">
        <f t="shared" si="48"/>
        <v>202609</v>
      </c>
      <c r="AF186" s="337"/>
    </row>
    <row r="187" spans="1:32" s="175" customFormat="1">
      <c r="A187" s="165"/>
      <c r="B187" s="163"/>
      <c r="C187" s="207"/>
      <c r="D187" s="211"/>
      <c r="E187" s="296">
        <v>6</v>
      </c>
      <c r="F187" s="8" t="s">
        <v>311</v>
      </c>
      <c r="G187" s="190" t="s">
        <v>13</v>
      </c>
      <c r="H187" s="189" t="s">
        <v>5</v>
      </c>
      <c r="I187" s="188">
        <v>2</v>
      </c>
      <c r="J187" s="187" t="s">
        <v>14</v>
      </c>
      <c r="K187" s="181" t="s">
        <v>6</v>
      </c>
      <c r="L187" s="180" t="s">
        <v>7</v>
      </c>
      <c r="M187" s="180">
        <v>46000000</v>
      </c>
      <c r="N187" s="361">
        <v>46000000</v>
      </c>
      <c r="O187" s="362">
        <f>IF(ISBLANK(L187),0,IF(L187="IDR",1,IF(L187="YEN",#REF!,IF(L187="USD",#REF!))))</f>
        <v>1</v>
      </c>
      <c r="P187" s="362">
        <f t="shared" si="43"/>
        <v>46000000</v>
      </c>
      <c r="Q187" s="177">
        <v>202609</v>
      </c>
      <c r="R187" s="16">
        <f t="shared" si="35"/>
        <v>202610</v>
      </c>
      <c r="S187" s="16">
        <f t="shared" si="35"/>
        <v>202611</v>
      </c>
      <c r="T187" s="188" t="s">
        <v>8</v>
      </c>
      <c r="U187" s="298">
        <f t="shared" si="44"/>
        <v>202611</v>
      </c>
      <c r="V187" s="299" t="str">
        <f t="shared" si="45"/>
        <v>IDR</v>
      </c>
      <c r="W187" s="300">
        <f t="shared" si="46"/>
        <v>46000000</v>
      </c>
      <c r="X187" s="301" t="str">
        <f t="shared" si="49"/>
        <v/>
      </c>
      <c r="Y187" s="299" t="str">
        <f t="shared" si="50"/>
        <v/>
      </c>
      <c r="Z187" s="300" t="str">
        <f t="shared" si="51"/>
        <v/>
      </c>
      <c r="AA187" s="301" t="str">
        <f t="shared" si="52"/>
        <v/>
      </c>
      <c r="AB187" s="299" t="str">
        <f t="shared" si="53"/>
        <v/>
      </c>
      <c r="AC187" s="300" t="str">
        <f t="shared" si="54"/>
        <v/>
      </c>
      <c r="AD187" s="226">
        <f t="shared" si="47"/>
        <v>202610</v>
      </c>
      <c r="AE187" s="105">
        <f t="shared" si="48"/>
        <v>202610</v>
      </c>
      <c r="AF187" s="337"/>
    </row>
    <row r="188" spans="1:32" s="175" customFormat="1">
      <c r="A188" s="165"/>
      <c r="B188" s="163"/>
      <c r="C188" s="207"/>
      <c r="D188" s="211"/>
      <c r="E188" s="296">
        <v>7</v>
      </c>
      <c r="F188" s="7" t="s">
        <v>312</v>
      </c>
      <c r="G188" s="190" t="s">
        <v>13</v>
      </c>
      <c r="H188" s="189" t="s">
        <v>5</v>
      </c>
      <c r="I188" s="188">
        <v>2</v>
      </c>
      <c r="J188" s="187" t="s">
        <v>14</v>
      </c>
      <c r="K188" s="181" t="s">
        <v>6</v>
      </c>
      <c r="L188" s="180" t="s">
        <v>7</v>
      </c>
      <c r="M188" s="318">
        <v>46000000</v>
      </c>
      <c r="N188" s="179">
        <v>46000000</v>
      </c>
      <c r="O188" s="297">
        <f>IF(ISBLANK(L188),0,IF(L188="IDR",1,IF(L188="YEN",#REF!,IF(L188="USD",#REF!))))</f>
        <v>1</v>
      </c>
      <c r="P188" s="297">
        <f t="shared" si="43"/>
        <v>46000000</v>
      </c>
      <c r="Q188" s="177">
        <v>202610</v>
      </c>
      <c r="R188" s="16">
        <f t="shared" si="35"/>
        <v>202611</v>
      </c>
      <c r="S188" s="16">
        <f t="shared" si="35"/>
        <v>202612</v>
      </c>
      <c r="T188" s="188" t="s">
        <v>8</v>
      </c>
      <c r="U188" s="298">
        <f t="shared" si="44"/>
        <v>202612</v>
      </c>
      <c r="V188" s="299" t="str">
        <f t="shared" si="45"/>
        <v>IDR</v>
      </c>
      <c r="W188" s="300">
        <f t="shared" si="46"/>
        <v>46000000</v>
      </c>
      <c r="X188" s="301" t="str">
        <f t="shared" si="49"/>
        <v/>
      </c>
      <c r="Y188" s="299" t="str">
        <f t="shared" si="50"/>
        <v/>
      </c>
      <c r="Z188" s="300" t="str">
        <f t="shared" si="51"/>
        <v/>
      </c>
      <c r="AA188" s="301" t="str">
        <f t="shared" si="52"/>
        <v/>
      </c>
      <c r="AB188" s="299" t="str">
        <f t="shared" si="53"/>
        <v/>
      </c>
      <c r="AC188" s="300" t="str">
        <f t="shared" si="54"/>
        <v/>
      </c>
      <c r="AD188" s="226">
        <f t="shared" si="47"/>
        <v>202611</v>
      </c>
      <c r="AE188" s="105">
        <f t="shared" si="48"/>
        <v>202611</v>
      </c>
      <c r="AF188" s="337"/>
    </row>
    <row r="189" spans="1:32" s="175" customFormat="1">
      <c r="A189" s="165"/>
      <c r="B189" s="163"/>
      <c r="C189" s="207"/>
      <c r="D189" s="211"/>
      <c r="E189" s="129">
        <v>8</v>
      </c>
      <c r="F189" s="7" t="s">
        <v>313</v>
      </c>
      <c r="G189" s="190" t="s">
        <v>13</v>
      </c>
      <c r="H189" s="189" t="s">
        <v>5</v>
      </c>
      <c r="I189" s="188">
        <v>2</v>
      </c>
      <c r="J189" s="187" t="s">
        <v>14</v>
      </c>
      <c r="K189" s="181" t="s">
        <v>6</v>
      </c>
      <c r="L189" s="180" t="s">
        <v>7</v>
      </c>
      <c r="M189" s="318">
        <v>46000000</v>
      </c>
      <c r="N189" s="179">
        <v>46000000</v>
      </c>
      <c r="O189" s="297">
        <f>IF(ISBLANK(L189),0,IF(L189="IDR",1,IF(L189="YEN",#REF!,IF(L189="USD",#REF!))))</f>
        <v>1</v>
      </c>
      <c r="P189" s="297">
        <f t="shared" si="43"/>
        <v>46000000</v>
      </c>
      <c r="Q189" s="177">
        <v>202611</v>
      </c>
      <c r="R189" s="16">
        <f t="shared" si="35"/>
        <v>202612</v>
      </c>
      <c r="S189" s="16">
        <v>202701</v>
      </c>
      <c r="T189" s="188" t="s">
        <v>8</v>
      </c>
      <c r="U189" s="298">
        <f t="shared" si="44"/>
        <v>202701</v>
      </c>
      <c r="V189" s="299" t="str">
        <f t="shared" si="45"/>
        <v>IDR</v>
      </c>
      <c r="W189" s="300">
        <f t="shared" si="46"/>
        <v>46000000</v>
      </c>
      <c r="X189" s="301" t="str">
        <f t="shared" si="49"/>
        <v/>
      </c>
      <c r="Y189" s="299" t="str">
        <f t="shared" si="50"/>
        <v/>
      </c>
      <c r="Z189" s="300" t="str">
        <f t="shared" si="51"/>
        <v/>
      </c>
      <c r="AA189" s="301" t="str">
        <f t="shared" si="52"/>
        <v/>
      </c>
      <c r="AB189" s="299" t="str">
        <f t="shared" si="53"/>
        <v/>
      </c>
      <c r="AC189" s="300" t="str">
        <f t="shared" si="54"/>
        <v/>
      </c>
      <c r="AD189" s="226">
        <f t="shared" si="47"/>
        <v>202612</v>
      </c>
      <c r="AE189" s="105">
        <f t="shared" si="48"/>
        <v>202612</v>
      </c>
      <c r="AF189" s="337"/>
    </row>
    <row r="190" spans="1:32" s="175" customFormat="1">
      <c r="A190" s="165"/>
      <c r="B190" s="163"/>
      <c r="C190" s="207"/>
      <c r="D190" s="211"/>
      <c r="E190" s="296">
        <v>9</v>
      </c>
      <c r="F190" s="7" t="s">
        <v>314</v>
      </c>
      <c r="G190" s="190" t="s">
        <v>13</v>
      </c>
      <c r="H190" s="189" t="s">
        <v>5</v>
      </c>
      <c r="I190" s="188">
        <v>2</v>
      </c>
      <c r="J190" s="187" t="s">
        <v>14</v>
      </c>
      <c r="K190" s="181" t="s">
        <v>6</v>
      </c>
      <c r="L190" s="180" t="s">
        <v>7</v>
      </c>
      <c r="M190" s="318">
        <v>46000000</v>
      </c>
      <c r="N190" s="179">
        <v>46000000</v>
      </c>
      <c r="O190" s="297">
        <f>IF(ISBLANK(L190),0,IF(L190="IDR",1,IF(L190="YEN",#REF!,IF(L190="USD",#REF!))))</f>
        <v>1</v>
      </c>
      <c r="P190" s="297">
        <f t="shared" si="43"/>
        <v>46000000</v>
      </c>
      <c r="Q190" s="177">
        <v>202612</v>
      </c>
      <c r="R190" s="16">
        <v>202701</v>
      </c>
      <c r="S190" s="16">
        <f t="shared" si="35"/>
        <v>202702</v>
      </c>
      <c r="T190" s="188" t="s">
        <v>8</v>
      </c>
      <c r="U190" s="298">
        <f t="shared" si="44"/>
        <v>202702</v>
      </c>
      <c r="V190" s="299" t="str">
        <f t="shared" si="45"/>
        <v>IDR</v>
      </c>
      <c r="W190" s="300">
        <f t="shared" si="46"/>
        <v>46000000</v>
      </c>
      <c r="X190" s="301" t="str">
        <f t="shared" si="49"/>
        <v/>
      </c>
      <c r="Y190" s="299" t="str">
        <f t="shared" si="50"/>
        <v/>
      </c>
      <c r="Z190" s="300" t="str">
        <f t="shared" si="51"/>
        <v/>
      </c>
      <c r="AA190" s="301" t="str">
        <f t="shared" si="52"/>
        <v/>
      </c>
      <c r="AB190" s="299" t="str">
        <f t="shared" si="53"/>
        <v/>
      </c>
      <c r="AC190" s="300" t="str">
        <f t="shared" si="54"/>
        <v/>
      </c>
      <c r="AD190" s="226">
        <f t="shared" si="47"/>
        <v>202701</v>
      </c>
      <c r="AE190" s="105">
        <f t="shared" si="48"/>
        <v>202701</v>
      </c>
      <c r="AF190" s="337"/>
    </row>
    <row r="191" spans="1:32" s="175" customFormat="1">
      <c r="A191" s="165"/>
      <c r="B191" s="163"/>
      <c r="C191" s="207"/>
      <c r="D191" s="211"/>
      <c r="E191" s="296">
        <v>10</v>
      </c>
      <c r="F191" s="7" t="s">
        <v>315</v>
      </c>
      <c r="G191" s="190" t="s">
        <v>13</v>
      </c>
      <c r="H191" s="189" t="s">
        <v>5</v>
      </c>
      <c r="I191" s="188">
        <v>2</v>
      </c>
      <c r="J191" s="187" t="s">
        <v>14</v>
      </c>
      <c r="K191" s="181" t="s">
        <v>6</v>
      </c>
      <c r="L191" s="180" t="s">
        <v>7</v>
      </c>
      <c r="M191" s="318">
        <v>46000000</v>
      </c>
      <c r="N191" s="179">
        <v>46000000</v>
      </c>
      <c r="O191" s="297">
        <f>IF(ISBLANK(L191),0,IF(L191="IDR",1,IF(L191="YEN",#REF!,IF(L191="USD",#REF!))))</f>
        <v>1</v>
      </c>
      <c r="P191" s="297">
        <f t="shared" si="43"/>
        <v>46000000</v>
      </c>
      <c r="Q191" s="177">
        <v>202701</v>
      </c>
      <c r="R191" s="16">
        <f t="shared" si="35"/>
        <v>202702</v>
      </c>
      <c r="S191" s="16">
        <f t="shared" si="35"/>
        <v>202703</v>
      </c>
      <c r="T191" s="188" t="s">
        <v>8</v>
      </c>
      <c r="U191" s="298">
        <f t="shared" si="44"/>
        <v>202703</v>
      </c>
      <c r="V191" s="299" t="str">
        <f t="shared" si="45"/>
        <v>IDR</v>
      </c>
      <c r="W191" s="300">
        <f t="shared" si="46"/>
        <v>46000000</v>
      </c>
      <c r="X191" s="301" t="str">
        <f t="shared" si="49"/>
        <v/>
      </c>
      <c r="Y191" s="299" t="str">
        <f t="shared" si="50"/>
        <v/>
      </c>
      <c r="Z191" s="300" t="str">
        <f t="shared" si="51"/>
        <v/>
      </c>
      <c r="AA191" s="301" t="str">
        <f t="shared" si="52"/>
        <v/>
      </c>
      <c r="AB191" s="299" t="str">
        <f t="shared" si="53"/>
        <v/>
      </c>
      <c r="AC191" s="300" t="str">
        <f t="shared" si="54"/>
        <v/>
      </c>
      <c r="AD191" s="226">
        <f t="shared" si="47"/>
        <v>202702</v>
      </c>
      <c r="AE191" s="105">
        <f t="shared" si="48"/>
        <v>202702</v>
      </c>
      <c r="AF191" s="337"/>
    </row>
    <row r="192" spans="1:32" s="175" customFormat="1">
      <c r="A192" s="165"/>
      <c r="B192" s="163"/>
      <c r="C192" s="207"/>
      <c r="D192" s="211"/>
      <c r="E192" s="129">
        <v>11</v>
      </c>
      <c r="F192" s="7" t="s">
        <v>316</v>
      </c>
      <c r="G192" s="190" t="s">
        <v>13</v>
      </c>
      <c r="H192" s="189" t="s">
        <v>5</v>
      </c>
      <c r="I192" s="188">
        <v>2</v>
      </c>
      <c r="J192" s="187" t="s">
        <v>14</v>
      </c>
      <c r="K192" s="181" t="s">
        <v>6</v>
      </c>
      <c r="L192" s="180" t="s">
        <v>7</v>
      </c>
      <c r="M192" s="318">
        <v>46000000</v>
      </c>
      <c r="N192" s="179">
        <v>46000000</v>
      </c>
      <c r="O192" s="297">
        <f>IF(ISBLANK(L192),0,IF(L192="IDR",1,IF(L192="YEN",#REF!,IF(L192="USD",#REF!))))</f>
        <v>1</v>
      </c>
      <c r="P192" s="297">
        <f t="shared" si="43"/>
        <v>46000000</v>
      </c>
      <c r="Q192" s="177">
        <v>202702</v>
      </c>
      <c r="R192" s="16">
        <f t="shared" si="35"/>
        <v>202703</v>
      </c>
      <c r="S192" s="16">
        <f t="shared" si="35"/>
        <v>202704</v>
      </c>
      <c r="T192" s="188" t="s">
        <v>8</v>
      </c>
      <c r="U192" s="298">
        <f t="shared" si="44"/>
        <v>202704</v>
      </c>
      <c r="V192" s="299" t="str">
        <f t="shared" si="45"/>
        <v>IDR</v>
      </c>
      <c r="W192" s="300">
        <f t="shared" si="46"/>
        <v>46000000</v>
      </c>
      <c r="X192" s="301" t="str">
        <f t="shared" si="49"/>
        <v/>
      </c>
      <c r="Y192" s="299" t="str">
        <f t="shared" si="50"/>
        <v/>
      </c>
      <c r="Z192" s="300" t="str">
        <f t="shared" si="51"/>
        <v/>
      </c>
      <c r="AA192" s="301" t="str">
        <f t="shared" si="52"/>
        <v/>
      </c>
      <c r="AB192" s="299" t="str">
        <f t="shared" si="53"/>
        <v/>
      </c>
      <c r="AC192" s="300" t="str">
        <f t="shared" si="54"/>
        <v/>
      </c>
      <c r="AD192" s="226">
        <f t="shared" si="47"/>
        <v>202703</v>
      </c>
      <c r="AE192" s="105">
        <f t="shared" si="48"/>
        <v>202703</v>
      </c>
      <c r="AF192" s="337"/>
    </row>
    <row r="193" spans="1:32" s="175" customFormat="1">
      <c r="A193" s="165"/>
      <c r="B193" s="163"/>
      <c r="C193" s="207"/>
      <c r="D193" s="211"/>
      <c r="E193" s="129">
        <v>12</v>
      </c>
      <c r="F193" s="7" t="s">
        <v>317</v>
      </c>
      <c r="G193" s="190" t="s">
        <v>13</v>
      </c>
      <c r="H193" s="189" t="s">
        <v>5</v>
      </c>
      <c r="I193" s="188">
        <v>2</v>
      </c>
      <c r="J193" s="187" t="s">
        <v>14</v>
      </c>
      <c r="K193" s="181" t="s">
        <v>6</v>
      </c>
      <c r="L193" s="180" t="s">
        <v>7</v>
      </c>
      <c r="M193" s="318">
        <v>46000000</v>
      </c>
      <c r="N193" s="179">
        <v>46000000</v>
      </c>
      <c r="O193" s="297">
        <f>IF(ISBLANK(L193),0,IF(L193="IDR",1,IF(L193="YEN",#REF!,IF(L193="USD",#REF!))))</f>
        <v>1</v>
      </c>
      <c r="P193" s="297">
        <f t="shared" si="43"/>
        <v>46000000</v>
      </c>
      <c r="Q193" s="177">
        <v>202703</v>
      </c>
      <c r="R193" s="16">
        <f t="shared" si="35"/>
        <v>202704</v>
      </c>
      <c r="S193" s="16">
        <f t="shared" si="35"/>
        <v>202705</v>
      </c>
      <c r="T193" s="188" t="s">
        <v>8</v>
      </c>
      <c r="U193" s="298">
        <f t="shared" si="44"/>
        <v>202705</v>
      </c>
      <c r="V193" s="299" t="str">
        <f t="shared" si="45"/>
        <v>IDR</v>
      </c>
      <c r="W193" s="300">
        <f t="shared" si="46"/>
        <v>46000000</v>
      </c>
      <c r="X193" s="301" t="str">
        <f t="shared" si="49"/>
        <v/>
      </c>
      <c r="Y193" s="299" t="str">
        <f t="shared" si="50"/>
        <v/>
      </c>
      <c r="Z193" s="300" t="str">
        <f t="shared" si="51"/>
        <v/>
      </c>
      <c r="AA193" s="301" t="str">
        <f t="shared" si="52"/>
        <v/>
      </c>
      <c r="AB193" s="299" t="str">
        <f t="shared" si="53"/>
        <v/>
      </c>
      <c r="AC193" s="300" t="str">
        <f t="shared" si="54"/>
        <v/>
      </c>
      <c r="AD193" s="226">
        <f t="shared" si="47"/>
        <v>202704</v>
      </c>
      <c r="AE193" s="105">
        <f t="shared" si="48"/>
        <v>202704</v>
      </c>
      <c r="AF193" s="337"/>
    </row>
    <row r="194" spans="1:32" s="175" customFormat="1">
      <c r="A194" s="165"/>
      <c r="B194" s="163"/>
      <c r="C194" s="207"/>
      <c r="D194" s="211"/>
      <c r="E194" s="129">
        <v>13</v>
      </c>
      <c r="F194" s="8" t="s">
        <v>318</v>
      </c>
      <c r="G194" s="190" t="s">
        <v>13</v>
      </c>
      <c r="H194" s="189" t="s">
        <v>5</v>
      </c>
      <c r="I194" s="188">
        <v>1</v>
      </c>
      <c r="J194" s="187" t="s">
        <v>14</v>
      </c>
      <c r="K194" s="181" t="s">
        <v>6</v>
      </c>
      <c r="L194" s="180" t="s">
        <v>7</v>
      </c>
      <c r="M194" s="180">
        <v>22000000</v>
      </c>
      <c r="N194" s="361">
        <v>22000000</v>
      </c>
      <c r="O194" s="362">
        <f>IF(ISBLANK(L194),0,IF(L194="IDR",1,IF(L194="YEN",#REF!,IF(L194="USD",#REF!))))</f>
        <v>1</v>
      </c>
      <c r="P194" s="362">
        <f>IF(ISBLANK(N194),"",N194*O194)</f>
        <v>22000000</v>
      </c>
      <c r="Q194" s="177">
        <v>202604</v>
      </c>
      <c r="R194" s="16">
        <f t="shared" si="35"/>
        <v>202605</v>
      </c>
      <c r="S194" s="16">
        <f t="shared" si="35"/>
        <v>202606</v>
      </c>
      <c r="T194" s="188" t="s">
        <v>8</v>
      </c>
      <c r="U194" s="298">
        <f t="shared" si="44"/>
        <v>202606</v>
      </c>
      <c r="V194" s="299" t="str">
        <f t="shared" si="45"/>
        <v>IDR</v>
      </c>
      <c r="W194" s="300">
        <f t="shared" si="46"/>
        <v>22000000</v>
      </c>
      <c r="X194" s="301" t="str">
        <f t="shared" si="49"/>
        <v/>
      </c>
      <c r="Y194" s="299" t="str">
        <f t="shared" si="50"/>
        <v/>
      </c>
      <c r="Z194" s="300" t="str">
        <f t="shared" si="51"/>
        <v/>
      </c>
      <c r="AA194" s="301" t="str">
        <f t="shared" si="52"/>
        <v/>
      </c>
      <c r="AB194" s="299" t="str">
        <f t="shared" si="53"/>
        <v/>
      </c>
      <c r="AC194" s="300" t="str">
        <f t="shared" si="54"/>
        <v/>
      </c>
      <c r="AD194" s="226">
        <f t="shared" si="47"/>
        <v>202605</v>
      </c>
      <c r="AE194" s="105">
        <f t="shared" si="48"/>
        <v>202605</v>
      </c>
      <c r="AF194" s="337"/>
    </row>
    <row r="195" spans="1:32" s="175" customFormat="1">
      <c r="A195" s="165"/>
      <c r="B195" s="163"/>
      <c r="C195" s="207"/>
      <c r="D195" s="211"/>
      <c r="E195" s="129">
        <v>14</v>
      </c>
      <c r="F195" s="8" t="s">
        <v>319</v>
      </c>
      <c r="G195" s="190" t="s">
        <v>13</v>
      </c>
      <c r="H195" s="189" t="s">
        <v>5</v>
      </c>
      <c r="I195" s="188">
        <v>2</v>
      </c>
      <c r="J195" s="187" t="s">
        <v>14</v>
      </c>
      <c r="K195" s="181" t="s">
        <v>6</v>
      </c>
      <c r="L195" s="180" t="s">
        <v>7</v>
      </c>
      <c r="M195" s="180">
        <v>170000000</v>
      </c>
      <c r="N195" s="361">
        <v>170000000</v>
      </c>
      <c r="O195" s="362">
        <f>IF(ISBLANK(L195),0,IF(L195="IDR",1,IF(L195="YEN",#REF!,IF(L195="USD",#REF!))))</f>
        <v>1</v>
      </c>
      <c r="P195" s="362">
        <f t="shared" si="43"/>
        <v>170000000</v>
      </c>
      <c r="Q195" s="177">
        <v>202605</v>
      </c>
      <c r="R195" s="16">
        <f t="shared" si="35"/>
        <v>202606</v>
      </c>
      <c r="S195" s="16">
        <f t="shared" si="35"/>
        <v>202607</v>
      </c>
      <c r="T195" s="188" t="s">
        <v>8</v>
      </c>
      <c r="U195" s="298">
        <f t="shared" si="44"/>
        <v>202607</v>
      </c>
      <c r="V195" s="299" t="str">
        <f t="shared" si="45"/>
        <v>IDR</v>
      </c>
      <c r="W195" s="300">
        <f t="shared" si="46"/>
        <v>170000000</v>
      </c>
      <c r="X195" s="301" t="str">
        <f t="shared" si="49"/>
        <v/>
      </c>
      <c r="Y195" s="299" t="str">
        <f t="shared" si="50"/>
        <v/>
      </c>
      <c r="Z195" s="300" t="str">
        <f t="shared" si="51"/>
        <v/>
      </c>
      <c r="AA195" s="301" t="str">
        <f t="shared" si="52"/>
        <v/>
      </c>
      <c r="AB195" s="299" t="str">
        <f t="shared" si="53"/>
        <v/>
      </c>
      <c r="AC195" s="300" t="str">
        <f t="shared" si="54"/>
        <v/>
      </c>
      <c r="AD195" s="226">
        <f t="shared" si="47"/>
        <v>202606</v>
      </c>
      <c r="AE195" s="105">
        <f t="shared" si="48"/>
        <v>202606</v>
      </c>
      <c r="AF195" s="337"/>
    </row>
    <row r="196" spans="1:32" s="175" customFormat="1">
      <c r="A196" s="165"/>
      <c r="B196" s="163"/>
      <c r="C196" s="207"/>
      <c r="D196" s="211"/>
      <c r="E196" s="129">
        <v>15</v>
      </c>
      <c r="F196" s="7" t="s">
        <v>233</v>
      </c>
      <c r="G196" s="190" t="s">
        <v>13</v>
      </c>
      <c r="H196" s="189" t="s">
        <v>5</v>
      </c>
      <c r="I196" s="188">
        <v>2</v>
      </c>
      <c r="J196" s="187" t="s">
        <v>14</v>
      </c>
      <c r="K196" s="181" t="s">
        <v>6</v>
      </c>
      <c r="L196" s="180" t="s">
        <v>7</v>
      </c>
      <c r="M196" s="318">
        <v>170000000</v>
      </c>
      <c r="N196" s="179">
        <v>170000000</v>
      </c>
      <c r="O196" s="297">
        <f>IF(ISBLANK(L196),0,IF(L196="IDR",1,IF(L196="YEN",#REF!,IF(L196="USD",#REF!))))</f>
        <v>1</v>
      </c>
      <c r="P196" s="297">
        <f t="shared" si="43"/>
        <v>170000000</v>
      </c>
      <c r="Q196" s="177">
        <v>202701</v>
      </c>
      <c r="R196" s="16">
        <f t="shared" si="35"/>
        <v>202702</v>
      </c>
      <c r="S196" s="16">
        <f t="shared" si="35"/>
        <v>202703</v>
      </c>
      <c r="T196" s="188" t="s">
        <v>8</v>
      </c>
      <c r="U196" s="298">
        <f t="shared" si="44"/>
        <v>202703</v>
      </c>
      <c r="V196" s="299" t="str">
        <f t="shared" si="45"/>
        <v>IDR</v>
      </c>
      <c r="W196" s="300">
        <f t="shared" si="46"/>
        <v>170000000</v>
      </c>
      <c r="X196" s="301" t="str">
        <f t="shared" si="49"/>
        <v/>
      </c>
      <c r="Y196" s="299" t="str">
        <f t="shared" si="50"/>
        <v/>
      </c>
      <c r="Z196" s="300" t="str">
        <f t="shared" si="51"/>
        <v/>
      </c>
      <c r="AA196" s="301" t="str">
        <f t="shared" si="52"/>
        <v/>
      </c>
      <c r="AB196" s="299" t="str">
        <f t="shared" si="53"/>
        <v/>
      </c>
      <c r="AC196" s="300" t="str">
        <f t="shared" si="54"/>
        <v/>
      </c>
      <c r="AD196" s="226">
        <f t="shared" si="47"/>
        <v>202702</v>
      </c>
      <c r="AE196" s="105">
        <f t="shared" si="48"/>
        <v>202702</v>
      </c>
      <c r="AF196" s="337"/>
    </row>
    <row r="197" spans="1:32" s="175" customFormat="1">
      <c r="A197" s="165"/>
      <c r="B197" s="163"/>
      <c r="C197" s="207"/>
      <c r="D197" s="211"/>
      <c r="E197" s="129">
        <v>16</v>
      </c>
      <c r="F197" s="8" t="s">
        <v>320</v>
      </c>
      <c r="G197" s="190" t="s">
        <v>13</v>
      </c>
      <c r="H197" s="189" t="s">
        <v>5</v>
      </c>
      <c r="I197" s="188">
        <v>1</v>
      </c>
      <c r="J197" s="187" t="s">
        <v>14</v>
      </c>
      <c r="K197" s="181" t="s">
        <v>6</v>
      </c>
      <c r="L197" s="180" t="s">
        <v>7</v>
      </c>
      <c r="M197" s="180">
        <v>45000000</v>
      </c>
      <c r="N197" s="361">
        <v>45000000</v>
      </c>
      <c r="O197" s="362">
        <f>IF(ISBLANK(L197),0,IF(L197="IDR",1,IF(L197="YEN",#REF!,IF(L197="USD",#REF!))))</f>
        <v>1</v>
      </c>
      <c r="P197" s="362">
        <f t="shared" si="43"/>
        <v>45000000</v>
      </c>
      <c r="Q197" s="177">
        <v>202605</v>
      </c>
      <c r="R197" s="16">
        <f t="shared" si="35"/>
        <v>202606</v>
      </c>
      <c r="S197" s="16">
        <f t="shared" si="35"/>
        <v>202607</v>
      </c>
      <c r="T197" s="188" t="s">
        <v>8</v>
      </c>
      <c r="U197" s="298">
        <f t="shared" si="44"/>
        <v>202607</v>
      </c>
      <c r="V197" s="299" t="str">
        <f t="shared" si="45"/>
        <v>IDR</v>
      </c>
      <c r="W197" s="300">
        <f t="shared" si="46"/>
        <v>45000000</v>
      </c>
      <c r="X197" s="301" t="str">
        <f t="shared" si="49"/>
        <v/>
      </c>
      <c r="Y197" s="299" t="str">
        <f t="shared" si="50"/>
        <v/>
      </c>
      <c r="Z197" s="300" t="str">
        <f t="shared" si="51"/>
        <v/>
      </c>
      <c r="AA197" s="301" t="str">
        <f t="shared" si="52"/>
        <v/>
      </c>
      <c r="AB197" s="299" t="str">
        <f t="shared" si="53"/>
        <v/>
      </c>
      <c r="AC197" s="300" t="str">
        <f t="shared" si="54"/>
        <v/>
      </c>
      <c r="AD197" s="226">
        <f t="shared" si="47"/>
        <v>202606</v>
      </c>
      <c r="AE197" s="105">
        <f t="shared" si="48"/>
        <v>202606</v>
      </c>
      <c r="AF197" s="337"/>
    </row>
    <row r="198" spans="1:32" s="175" customFormat="1">
      <c r="A198" s="165"/>
      <c r="B198" s="163"/>
      <c r="C198" s="207"/>
      <c r="D198" s="211"/>
      <c r="E198" s="129">
        <v>17</v>
      </c>
      <c r="F198" s="322" t="s">
        <v>234</v>
      </c>
      <c r="G198" s="190" t="s">
        <v>13</v>
      </c>
      <c r="H198" s="189" t="s">
        <v>5</v>
      </c>
      <c r="I198" s="188">
        <v>3</v>
      </c>
      <c r="J198" s="187" t="s">
        <v>14</v>
      </c>
      <c r="K198" s="181" t="s">
        <v>6</v>
      </c>
      <c r="L198" s="180" t="s">
        <v>7</v>
      </c>
      <c r="M198" s="318"/>
      <c r="N198" s="179">
        <v>0</v>
      </c>
      <c r="O198" s="297">
        <f>IF(ISBLANK(L198),0,IF(L198="IDR",1,IF(L198="YEN",#REF!,IF(L198="USD",#REF!))))</f>
        <v>1</v>
      </c>
      <c r="P198" s="297">
        <f t="shared" si="43"/>
        <v>0</v>
      </c>
      <c r="Q198" s="177">
        <v>202701</v>
      </c>
      <c r="R198" s="16">
        <f t="shared" si="35"/>
        <v>202702</v>
      </c>
      <c r="S198" s="16">
        <f t="shared" si="35"/>
        <v>202703</v>
      </c>
      <c r="T198" s="188" t="s">
        <v>8</v>
      </c>
      <c r="U198" s="298">
        <f t="shared" si="44"/>
        <v>202703</v>
      </c>
      <c r="V198" s="299" t="str">
        <f t="shared" si="45"/>
        <v>IDR</v>
      </c>
      <c r="W198" s="300">
        <f t="shared" si="46"/>
        <v>0</v>
      </c>
      <c r="X198" s="301" t="str">
        <f t="shared" si="49"/>
        <v/>
      </c>
      <c r="Y198" s="299" t="str">
        <f t="shared" si="50"/>
        <v/>
      </c>
      <c r="Z198" s="300" t="str">
        <f t="shared" si="51"/>
        <v/>
      </c>
      <c r="AA198" s="301" t="str">
        <f t="shared" si="52"/>
        <v/>
      </c>
      <c r="AB198" s="299" t="str">
        <f t="shared" si="53"/>
        <v/>
      </c>
      <c r="AC198" s="300" t="str">
        <f t="shared" si="54"/>
        <v/>
      </c>
      <c r="AD198" s="226">
        <f t="shared" si="47"/>
        <v>202702</v>
      </c>
      <c r="AE198" s="105">
        <f t="shared" si="48"/>
        <v>202702</v>
      </c>
      <c r="AF198" s="337"/>
    </row>
    <row r="199" spans="1:32" s="175" customFormat="1">
      <c r="A199" s="165"/>
      <c r="B199" s="163"/>
      <c r="C199" s="207"/>
      <c r="D199" s="211"/>
      <c r="E199" s="129">
        <v>18</v>
      </c>
      <c r="F199" s="322" t="s">
        <v>235</v>
      </c>
      <c r="G199" s="190" t="s">
        <v>13</v>
      </c>
      <c r="H199" s="189" t="s">
        <v>5</v>
      </c>
      <c r="I199" s="188">
        <v>3</v>
      </c>
      <c r="J199" s="187" t="s">
        <v>14</v>
      </c>
      <c r="K199" s="181" t="s">
        <v>6</v>
      </c>
      <c r="L199" s="180" t="s">
        <v>7</v>
      </c>
      <c r="M199" s="318"/>
      <c r="N199" s="179">
        <v>0</v>
      </c>
      <c r="O199" s="297">
        <f>IF(ISBLANK(L199),0,IF(L199="IDR",1,IF(L199="YEN",#REF!,IF(L199="USD",#REF!))))</f>
        <v>1</v>
      </c>
      <c r="P199" s="297">
        <f t="shared" si="43"/>
        <v>0</v>
      </c>
      <c r="Q199" s="177">
        <v>202702</v>
      </c>
      <c r="R199" s="16">
        <f t="shared" si="35"/>
        <v>202703</v>
      </c>
      <c r="S199" s="16">
        <f t="shared" si="35"/>
        <v>202704</v>
      </c>
      <c r="T199" s="188" t="s">
        <v>8</v>
      </c>
      <c r="U199" s="298">
        <f t="shared" si="44"/>
        <v>202704</v>
      </c>
      <c r="V199" s="299" t="str">
        <f t="shared" si="45"/>
        <v>IDR</v>
      </c>
      <c r="W199" s="300">
        <f t="shared" si="46"/>
        <v>0</v>
      </c>
      <c r="X199" s="301" t="str">
        <f t="shared" si="49"/>
        <v/>
      </c>
      <c r="Y199" s="299" t="str">
        <f t="shared" si="50"/>
        <v/>
      </c>
      <c r="Z199" s="300" t="str">
        <f t="shared" si="51"/>
        <v/>
      </c>
      <c r="AA199" s="301" t="str">
        <f t="shared" si="52"/>
        <v/>
      </c>
      <c r="AB199" s="299" t="str">
        <f t="shared" si="53"/>
        <v/>
      </c>
      <c r="AC199" s="300" t="str">
        <f t="shared" si="54"/>
        <v/>
      </c>
      <c r="AD199" s="226">
        <f t="shared" si="47"/>
        <v>202703</v>
      </c>
      <c r="AE199" s="105">
        <f t="shared" si="48"/>
        <v>202703</v>
      </c>
      <c r="AF199" s="337"/>
    </row>
    <row r="200" spans="1:32" s="175" customFormat="1">
      <c r="A200" s="165"/>
      <c r="B200" s="163"/>
      <c r="C200" s="207"/>
      <c r="D200" s="211"/>
      <c r="E200" s="129">
        <v>19</v>
      </c>
      <c r="F200" s="322" t="s">
        <v>236</v>
      </c>
      <c r="G200" s="190" t="s">
        <v>13</v>
      </c>
      <c r="H200" s="189" t="s">
        <v>5</v>
      </c>
      <c r="I200" s="188">
        <v>3</v>
      </c>
      <c r="J200" s="187" t="s">
        <v>14</v>
      </c>
      <c r="K200" s="181" t="s">
        <v>6</v>
      </c>
      <c r="L200" s="180" t="s">
        <v>7</v>
      </c>
      <c r="M200" s="318"/>
      <c r="N200" s="179">
        <v>0</v>
      </c>
      <c r="O200" s="297">
        <f>IF(ISBLANK(L200),0,IF(L200="IDR",1,IF(L200="YEN",#REF!,IF(L200="USD",#REF!))))</f>
        <v>1</v>
      </c>
      <c r="P200" s="297">
        <f t="shared" si="43"/>
        <v>0</v>
      </c>
      <c r="Q200" s="177">
        <v>202703</v>
      </c>
      <c r="R200" s="16">
        <f t="shared" si="35"/>
        <v>202704</v>
      </c>
      <c r="S200" s="16">
        <f t="shared" si="35"/>
        <v>202705</v>
      </c>
      <c r="T200" s="188" t="s">
        <v>8</v>
      </c>
      <c r="U200" s="298">
        <f t="shared" si="44"/>
        <v>202705</v>
      </c>
      <c r="V200" s="299" t="str">
        <f t="shared" si="45"/>
        <v>IDR</v>
      </c>
      <c r="W200" s="300">
        <f t="shared" si="46"/>
        <v>0</v>
      </c>
      <c r="X200" s="301" t="str">
        <f t="shared" si="49"/>
        <v/>
      </c>
      <c r="Y200" s="299" t="str">
        <f t="shared" si="50"/>
        <v/>
      </c>
      <c r="Z200" s="300" t="str">
        <f t="shared" si="51"/>
        <v/>
      </c>
      <c r="AA200" s="301" t="str">
        <f t="shared" si="52"/>
        <v/>
      </c>
      <c r="AB200" s="299" t="str">
        <f t="shared" si="53"/>
        <v/>
      </c>
      <c r="AC200" s="300" t="str">
        <f t="shared" si="54"/>
        <v/>
      </c>
      <c r="AD200" s="226">
        <f t="shared" si="47"/>
        <v>202704</v>
      </c>
      <c r="AE200" s="105">
        <f t="shared" si="48"/>
        <v>202704</v>
      </c>
      <c r="AF200" s="337"/>
    </row>
    <row r="201" spans="1:32" s="175" customFormat="1">
      <c r="A201" s="165"/>
      <c r="B201" s="163"/>
      <c r="C201" s="207"/>
      <c r="D201" s="211"/>
      <c r="E201" s="296"/>
      <c r="F201" s="123"/>
      <c r="G201" s="190"/>
      <c r="H201" s="189"/>
      <c r="I201" s="188"/>
      <c r="J201" s="187"/>
      <c r="K201" s="181"/>
      <c r="L201" s="180"/>
      <c r="M201" s="318"/>
      <c r="N201" s="179"/>
      <c r="O201" s="297"/>
      <c r="P201" s="297"/>
      <c r="Q201" s="177"/>
      <c r="R201" s="16"/>
      <c r="S201" s="177"/>
      <c r="T201" s="188"/>
      <c r="U201" s="298"/>
      <c r="V201" s="299"/>
      <c r="W201" s="300"/>
      <c r="X201" s="301"/>
      <c r="Y201" s="299"/>
      <c r="Z201" s="300"/>
      <c r="AA201" s="301"/>
      <c r="AB201" s="299"/>
      <c r="AC201" s="300"/>
      <c r="AD201" s="226"/>
      <c r="AE201" s="176"/>
      <c r="AF201" s="342"/>
    </row>
    <row r="202" spans="1:32" s="175" customFormat="1" ht="36">
      <c r="A202" s="165" t="s">
        <v>237</v>
      </c>
      <c r="B202" s="163" t="s">
        <v>238</v>
      </c>
      <c r="C202" s="207">
        <f>SUM(P202:P203)</f>
        <v>75000000</v>
      </c>
      <c r="D202" s="268" t="s">
        <v>321</v>
      </c>
      <c r="E202" s="296">
        <v>1</v>
      </c>
      <c r="F202" s="269" t="s">
        <v>322</v>
      </c>
      <c r="G202" s="190" t="s">
        <v>13</v>
      </c>
      <c r="H202" s="189" t="s">
        <v>5</v>
      </c>
      <c r="I202" s="188">
        <v>2</v>
      </c>
      <c r="J202" s="187" t="s">
        <v>14</v>
      </c>
      <c r="K202" s="181" t="s">
        <v>6</v>
      </c>
      <c r="L202" s="180" t="s">
        <v>7</v>
      </c>
      <c r="M202" s="318">
        <v>50000000</v>
      </c>
      <c r="N202" s="179">
        <v>50000000</v>
      </c>
      <c r="O202" s="297">
        <f>IF(ISBLANK(L202),0,IF(L202="IDR",1,IF(L202="YEN",#REF!,IF(L202="USD",#REF!))))</f>
        <v>1</v>
      </c>
      <c r="P202" s="267">
        <f t="shared" ref="P202:P203" si="55">IF(ISBLANK(N202),"",N202*O202)</f>
        <v>50000000</v>
      </c>
      <c r="Q202" s="177">
        <v>202608</v>
      </c>
      <c r="R202" s="16">
        <f t="shared" si="35"/>
        <v>202609</v>
      </c>
      <c r="S202" s="16">
        <f t="shared" si="35"/>
        <v>202610</v>
      </c>
      <c r="T202" s="188" t="s">
        <v>8</v>
      </c>
      <c r="U202" s="298">
        <f>IF(ISBLANK(Q202),"",IF(LEFT(T202,2)="一括",IF(T202="一括(検収時)",S202,R202),Q202))</f>
        <v>202610</v>
      </c>
      <c r="V202" s="299" t="str">
        <f>IF(ISBLANK(T202),"",L202)</f>
        <v>IDR</v>
      </c>
      <c r="W202" s="300">
        <f>P202</f>
        <v>50000000</v>
      </c>
      <c r="X202" s="301"/>
      <c r="Y202" s="299"/>
      <c r="Z202" s="300"/>
      <c r="AA202" s="301"/>
      <c r="AB202" s="299" t="str">
        <f>IF(T202="DP3(30/40/30%)",L202,"")</f>
        <v/>
      </c>
      <c r="AC202" s="300"/>
      <c r="AD202" s="226">
        <f>R202</f>
        <v>202609</v>
      </c>
      <c r="AE202" s="105">
        <f>AD202</f>
        <v>202609</v>
      </c>
      <c r="AF202" s="337"/>
    </row>
    <row r="203" spans="1:32" s="175" customFormat="1">
      <c r="A203" s="165"/>
      <c r="B203" s="163"/>
      <c r="C203" s="207"/>
      <c r="D203" s="211"/>
      <c r="E203" s="296">
        <v>2</v>
      </c>
      <c r="F203" s="123" t="s">
        <v>240</v>
      </c>
      <c r="G203" s="190" t="s">
        <v>13</v>
      </c>
      <c r="H203" s="189" t="s">
        <v>5</v>
      </c>
      <c r="I203" s="188">
        <v>1</v>
      </c>
      <c r="J203" s="187" t="s">
        <v>14</v>
      </c>
      <c r="K203" s="181" t="s">
        <v>6</v>
      </c>
      <c r="L203" s="180" t="s">
        <v>7</v>
      </c>
      <c r="M203" s="318">
        <v>25000000</v>
      </c>
      <c r="N203" s="179">
        <v>25000000</v>
      </c>
      <c r="O203" s="297">
        <f>IF(ISBLANK(L203),0,IF(L203="IDR",1,IF(L203="YEN",#REF!,IF(L203="USD",#REF!))))</f>
        <v>1</v>
      </c>
      <c r="P203" s="297">
        <f t="shared" si="55"/>
        <v>25000000</v>
      </c>
      <c r="Q203" s="177">
        <v>202702</v>
      </c>
      <c r="R203" s="16">
        <f t="shared" si="35"/>
        <v>202703</v>
      </c>
      <c r="S203" s="16">
        <f t="shared" si="35"/>
        <v>202704</v>
      </c>
      <c r="T203" s="188" t="s">
        <v>8</v>
      </c>
      <c r="U203" s="298">
        <f>IF(ISBLANK(Q203),"",IF(LEFT(T203,2)="一括",IF(T203="一括(検収時)",S203,R203),Q203))</f>
        <v>202704</v>
      </c>
      <c r="V203" s="299" t="str">
        <f>IF(ISBLANK(T203),"",L203)</f>
        <v>IDR</v>
      </c>
      <c r="W203" s="300">
        <f>P203</f>
        <v>25000000</v>
      </c>
      <c r="X203" s="301" t="str">
        <f>IF(LEFT(T203,2)="一括","",IF(T203="DP2(30/70%)",S203,IF(T203="DP3(30/40/30%)",R203,"")))</f>
        <v/>
      </c>
      <c r="Y203" s="299" t="str">
        <f>IF(LEFT(T203,2)="一括","",V203)</f>
        <v/>
      </c>
      <c r="Z203" s="300" t="str">
        <f>IF(ISBLANK(T203),"",IF(LEFT(T203,2)="一括","",IF(T203="DP2(30/70%)",0.7*N203,0.4*N203)))</f>
        <v/>
      </c>
      <c r="AA203" s="301" t="str">
        <f>IF(LEFT(T203,2)="一括","",IF(T203="DP2(30/70%)","",IF(T203="DP3(30/40/30%)",S203,"")))</f>
        <v/>
      </c>
      <c r="AB203" s="299" t="str">
        <f>IF(T203="DP3(30/40/30%)",L203,"")</f>
        <v/>
      </c>
      <c r="AC203" s="300" t="str">
        <f>IF(ISBLANK(T203),"",IF(T203="DP3(30/40/30%)",0.3*N203,""))</f>
        <v/>
      </c>
      <c r="AD203" s="226">
        <f>R203</f>
        <v>202703</v>
      </c>
      <c r="AE203" s="105">
        <f>AD203</f>
        <v>202703</v>
      </c>
      <c r="AF203" s="337"/>
    </row>
    <row r="204" spans="1:32" s="175" customFormat="1">
      <c r="A204" s="165"/>
      <c r="B204" s="163"/>
      <c r="C204" s="207"/>
      <c r="D204" s="211"/>
      <c r="E204" s="296"/>
      <c r="F204" s="123"/>
      <c r="G204" s="190"/>
      <c r="H204" s="189"/>
      <c r="I204" s="188"/>
      <c r="J204" s="187"/>
      <c r="K204" s="181"/>
      <c r="L204" s="180"/>
      <c r="M204" s="318"/>
      <c r="N204" s="179"/>
      <c r="O204" s="297"/>
      <c r="P204" s="297"/>
      <c r="Q204" s="177"/>
      <c r="R204" s="16"/>
      <c r="S204" s="177"/>
      <c r="T204" s="188"/>
      <c r="U204" s="298"/>
      <c r="V204" s="299"/>
      <c r="W204" s="300"/>
      <c r="X204" s="301"/>
      <c r="Y204" s="299"/>
      <c r="Z204" s="300"/>
      <c r="AA204" s="301"/>
      <c r="AB204" s="299"/>
      <c r="AC204" s="300"/>
      <c r="AD204" s="226"/>
      <c r="AE204" s="176"/>
      <c r="AF204" s="342"/>
    </row>
    <row r="205" spans="1:32" s="21" customFormat="1" ht="14.45" customHeight="1">
      <c r="A205" s="121"/>
      <c r="B205" s="127"/>
      <c r="C205" s="120"/>
      <c r="D205" s="128"/>
      <c r="E205" s="129"/>
      <c r="F205" s="7"/>
      <c r="G205" s="8"/>
      <c r="H205" s="9"/>
      <c r="I205" s="10"/>
      <c r="J205" s="11"/>
      <c r="K205" s="12"/>
      <c r="L205" s="13"/>
      <c r="M205" s="77"/>
      <c r="N205" s="14"/>
      <c r="O205" s="22"/>
      <c r="P205" s="22"/>
      <c r="Q205" s="16"/>
      <c r="R205" s="16"/>
      <c r="S205" s="16"/>
      <c r="T205" s="10"/>
      <c r="U205" s="218"/>
      <c r="V205" s="79"/>
      <c r="W205" s="80"/>
      <c r="X205" s="78"/>
      <c r="Y205" s="79"/>
      <c r="Z205" s="80" t="str">
        <f>IF(ISBLANK(T205),"",IF(LEFT(T205,2)="一括","",IF(T205="DP2(30/70%)",0.7*N205,0.4*N205)))</f>
        <v/>
      </c>
      <c r="AA205" s="78" t="str">
        <f>IF(LEFT(T205,2)="一括","",IF(T205="DP2(30/70%)","",IF(T205="DP3(30/40/30%)",S205,"")))</f>
        <v/>
      </c>
      <c r="AB205" s="79" t="str">
        <f>IF(T205="DP3(30/40/30%)",L205,"")</f>
        <v/>
      </c>
      <c r="AC205" s="80" t="str">
        <f>IF(ISBLANK(T205),"",IF(T205="DP3(30/40/30%)",0.3*N205,""))</f>
        <v/>
      </c>
      <c r="AD205" s="221"/>
      <c r="AE205" s="105"/>
      <c r="AF205" s="337"/>
    </row>
    <row r="206" spans="1:32" s="21" customFormat="1" ht="14.45" customHeight="1">
      <c r="A206" s="165"/>
      <c r="B206" s="127" t="s">
        <v>242</v>
      </c>
      <c r="C206" s="120">
        <f>SUM(P206:P209)</f>
        <v>0</v>
      </c>
      <c r="D206" s="128"/>
      <c r="E206" s="129">
        <v>1</v>
      </c>
      <c r="F206" s="322" t="s">
        <v>243</v>
      </c>
      <c r="G206" s="8" t="s">
        <v>13</v>
      </c>
      <c r="H206" s="9" t="s">
        <v>5</v>
      </c>
      <c r="I206" s="10">
        <v>1</v>
      </c>
      <c r="J206" s="11" t="s">
        <v>14</v>
      </c>
      <c r="K206" s="12" t="s">
        <v>6</v>
      </c>
      <c r="L206" s="13" t="s">
        <v>7</v>
      </c>
      <c r="M206" s="77">
        <v>0</v>
      </c>
      <c r="N206" s="14">
        <v>0</v>
      </c>
      <c r="O206" s="22">
        <v>1</v>
      </c>
      <c r="P206" s="22">
        <f>IF(ISBLANK(N206),"",N206*O206)</f>
        <v>0</v>
      </c>
      <c r="Q206" s="16">
        <v>202610</v>
      </c>
      <c r="R206" s="16">
        <f t="shared" si="35"/>
        <v>202611</v>
      </c>
      <c r="S206" s="16">
        <f t="shared" si="35"/>
        <v>202612</v>
      </c>
      <c r="T206" s="10" t="s">
        <v>8</v>
      </c>
      <c r="U206" s="218">
        <f>IF(ISBLANK(Q206),"",IF(LEFT(T206,2)="一括",IF(T206="一括(検収時)",S206,R206),Q206))</f>
        <v>202612</v>
      </c>
      <c r="V206" s="79" t="s">
        <v>7</v>
      </c>
      <c r="W206" s="80">
        <f>P206</f>
        <v>0</v>
      </c>
      <c r="X206" s="78"/>
      <c r="Y206" s="79"/>
      <c r="Z206" s="80"/>
      <c r="AA206" s="78"/>
      <c r="AB206" s="79"/>
      <c r="AC206" s="80"/>
      <c r="AD206" s="221">
        <f>R206</f>
        <v>202611</v>
      </c>
      <c r="AE206" s="105">
        <f>AD206</f>
        <v>202611</v>
      </c>
      <c r="AF206" s="337"/>
    </row>
    <row r="207" spans="1:32" s="21" customFormat="1" ht="14.45" customHeight="1">
      <c r="A207" s="165"/>
      <c r="B207" s="323" t="s">
        <v>323</v>
      </c>
      <c r="C207" s="120"/>
      <c r="D207" s="128"/>
      <c r="E207" s="129">
        <v>2</v>
      </c>
      <c r="F207" s="322" t="s">
        <v>244</v>
      </c>
      <c r="G207" s="8" t="s">
        <v>13</v>
      </c>
      <c r="H207" s="9" t="s">
        <v>5</v>
      </c>
      <c r="I207" s="10">
        <v>1</v>
      </c>
      <c r="J207" s="11" t="s">
        <v>14</v>
      </c>
      <c r="K207" s="12" t="s">
        <v>6</v>
      </c>
      <c r="L207" s="13" t="s">
        <v>7</v>
      </c>
      <c r="M207" s="77">
        <v>0</v>
      </c>
      <c r="N207" s="14">
        <v>0</v>
      </c>
      <c r="O207" s="22">
        <v>1</v>
      </c>
      <c r="P207" s="22">
        <f>IF(ISBLANK(N207),"",N207*O207)</f>
        <v>0</v>
      </c>
      <c r="Q207" s="16">
        <v>202611</v>
      </c>
      <c r="R207" s="16">
        <f t="shared" si="35"/>
        <v>202612</v>
      </c>
      <c r="S207" s="16">
        <v>202701</v>
      </c>
      <c r="T207" s="10" t="s">
        <v>8</v>
      </c>
      <c r="U207" s="218">
        <f>IF(ISBLANK(Q207),"",IF(LEFT(T207,2)="一括",IF(T207="一括(検収時)",S207,R207),Q207))</f>
        <v>202701</v>
      </c>
      <c r="V207" s="79" t="s">
        <v>7</v>
      </c>
      <c r="W207" s="80">
        <f>P207</f>
        <v>0</v>
      </c>
      <c r="X207" s="78"/>
      <c r="Y207" s="79"/>
      <c r="Z207" s="80"/>
      <c r="AA207" s="78"/>
      <c r="AB207" s="79"/>
      <c r="AC207" s="80"/>
      <c r="AD207" s="221">
        <f>R207</f>
        <v>202612</v>
      </c>
      <c r="AE207" s="105">
        <f>AD207</f>
        <v>202612</v>
      </c>
      <c r="AF207" s="337"/>
    </row>
    <row r="208" spans="1:32" s="21" customFormat="1" ht="14.45" customHeight="1">
      <c r="A208" s="165"/>
      <c r="B208" s="127"/>
      <c r="C208" s="120"/>
      <c r="D208" s="128"/>
      <c r="E208" s="129">
        <v>3</v>
      </c>
      <c r="F208" s="322" t="s">
        <v>245</v>
      </c>
      <c r="G208" s="8" t="s">
        <v>13</v>
      </c>
      <c r="H208" s="9" t="s">
        <v>5</v>
      </c>
      <c r="I208" s="10">
        <v>2</v>
      </c>
      <c r="J208" s="11" t="s">
        <v>14</v>
      </c>
      <c r="K208" s="12" t="s">
        <v>6</v>
      </c>
      <c r="L208" s="13" t="s">
        <v>7</v>
      </c>
      <c r="M208" s="77">
        <v>0</v>
      </c>
      <c r="N208" s="14">
        <v>0</v>
      </c>
      <c r="O208" s="22">
        <v>1</v>
      </c>
      <c r="P208" s="22">
        <f>IF(ISBLANK(N208),"",N208*O208)</f>
        <v>0</v>
      </c>
      <c r="Q208" s="16">
        <v>202606</v>
      </c>
      <c r="R208" s="16">
        <f t="shared" si="35"/>
        <v>202607</v>
      </c>
      <c r="S208" s="16">
        <f t="shared" si="35"/>
        <v>202608</v>
      </c>
      <c r="T208" s="10" t="s">
        <v>8</v>
      </c>
      <c r="U208" s="218">
        <f>IF(ISBLANK(Q208),"",IF(LEFT(T208,2)="一括",IF(T208="一括(検収時)",S208,R208),Q208))</f>
        <v>202608</v>
      </c>
      <c r="V208" s="79" t="s">
        <v>7</v>
      </c>
      <c r="W208" s="80">
        <f>P208</f>
        <v>0</v>
      </c>
      <c r="X208" s="78"/>
      <c r="Y208" s="79"/>
      <c r="Z208" s="80"/>
      <c r="AA208" s="78"/>
      <c r="AB208" s="79"/>
      <c r="AC208" s="80"/>
      <c r="AD208" s="221">
        <f>R208</f>
        <v>202607</v>
      </c>
      <c r="AE208" s="105">
        <f>AD208</f>
        <v>202607</v>
      </c>
      <c r="AF208" s="337"/>
    </row>
    <row r="209" spans="1:33" s="21" customFormat="1" ht="14.45" customHeight="1">
      <c r="A209" s="165"/>
      <c r="B209" s="127"/>
      <c r="C209" s="120"/>
      <c r="D209" s="128"/>
      <c r="E209" s="129">
        <v>4</v>
      </c>
      <c r="F209" s="322" t="s">
        <v>246</v>
      </c>
      <c r="G209" s="8" t="s">
        <v>13</v>
      </c>
      <c r="H209" s="9" t="s">
        <v>5</v>
      </c>
      <c r="I209" s="10">
        <v>1</v>
      </c>
      <c r="J209" s="11" t="s">
        <v>14</v>
      </c>
      <c r="K209" s="12" t="s">
        <v>6</v>
      </c>
      <c r="L209" s="13" t="s">
        <v>7</v>
      </c>
      <c r="M209" s="77">
        <v>0</v>
      </c>
      <c r="N209" s="14">
        <v>0</v>
      </c>
      <c r="O209" s="22">
        <v>1</v>
      </c>
      <c r="P209" s="22">
        <f>IF(ISBLANK(N209),"",N209*O209)</f>
        <v>0</v>
      </c>
      <c r="Q209" s="16">
        <v>202607</v>
      </c>
      <c r="R209" s="16">
        <f t="shared" si="35"/>
        <v>202608</v>
      </c>
      <c r="S209" s="16">
        <f t="shared" si="35"/>
        <v>202609</v>
      </c>
      <c r="T209" s="10" t="s">
        <v>8</v>
      </c>
      <c r="U209" s="218">
        <f>IF(ISBLANK(Q209),"",IF(LEFT(T209,2)="一括",IF(T209="一括(検収時)",S209,R209),Q209))</f>
        <v>202609</v>
      </c>
      <c r="V209" s="79" t="s">
        <v>7</v>
      </c>
      <c r="W209" s="80">
        <f>P209</f>
        <v>0</v>
      </c>
      <c r="X209" s="78"/>
      <c r="Y209" s="79"/>
      <c r="Z209" s="80"/>
      <c r="AA209" s="78"/>
      <c r="AB209" s="79"/>
      <c r="AC209" s="80"/>
      <c r="AD209" s="221">
        <f>R209</f>
        <v>202608</v>
      </c>
      <c r="AE209" s="105">
        <f>AD209</f>
        <v>202608</v>
      </c>
      <c r="AF209" s="337"/>
    </row>
    <row r="210" spans="1:33" s="21" customFormat="1" ht="14.45" customHeight="1">
      <c r="A210" s="121"/>
      <c r="B210" s="127"/>
      <c r="C210" s="120"/>
      <c r="D210" s="128"/>
      <c r="E210" s="129"/>
      <c r="F210" s="7"/>
      <c r="G210" s="8"/>
      <c r="H210" s="9"/>
      <c r="I210" s="10"/>
      <c r="J210" s="11"/>
      <c r="K210" s="12"/>
      <c r="L210" s="13"/>
      <c r="M210" s="77"/>
      <c r="N210" s="14"/>
      <c r="O210" s="22"/>
      <c r="P210" s="22"/>
      <c r="Q210" s="16"/>
      <c r="R210" s="16"/>
      <c r="S210" s="16"/>
      <c r="T210" s="10"/>
      <c r="U210" s="218"/>
      <c r="V210" s="79"/>
      <c r="W210" s="80"/>
      <c r="X210" s="78"/>
      <c r="Y210" s="79"/>
      <c r="Z210" s="80"/>
      <c r="AA210" s="78"/>
      <c r="AB210" s="79"/>
      <c r="AC210" s="80"/>
      <c r="AD210" s="221"/>
      <c r="AE210" s="105"/>
      <c r="AF210" s="337"/>
    </row>
    <row r="211" spans="1:33" s="175" customFormat="1">
      <c r="A211" s="165" t="s">
        <v>324</v>
      </c>
      <c r="B211" s="163" t="s">
        <v>177</v>
      </c>
      <c r="C211" s="207">
        <f>SUM(P211:P214)</f>
        <v>729000000</v>
      </c>
      <c r="D211" s="211"/>
      <c r="E211" s="296">
        <v>1</v>
      </c>
      <c r="F211" s="321" t="s">
        <v>247</v>
      </c>
      <c r="G211" s="190" t="s">
        <v>13</v>
      </c>
      <c r="H211" s="189" t="s">
        <v>5</v>
      </c>
      <c r="I211" s="188">
        <v>1</v>
      </c>
      <c r="J211" s="187" t="s">
        <v>14</v>
      </c>
      <c r="K211" s="181" t="s">
        <v>6</v>
      </c>
      <c r="L211" s="180" t="s">
        <v>7</v>
      </c>
      <c r="M211" s="320">
        <v>200000000</v>
      </c>
      <c r="N211" s="327">
        <v>200000000</v>
      </c>
      <c r="O211" s="178">
        <f>IF(ISBLANK(L211),0,IF(L211="IDR",1,IF(L211="YEN",#REF!,IF(L211="USD",#REF!))))</f>
        <v>1</v>
      </c>
      <c r="P211" s="178">
        <f t="shared" ref="P211" si="56">IF(ISBLANK(N211),"",N211*O211)</f>
        <v>200000000</v>
      </c>
      <c r="Q211" s="324">
        <v>202604</v>
      </c>
      <c r="R211" s="16">
        <f t="shared" si="35"/>
        <v>202605</v>
      </c>
      <c r="S211" s="16">
        <f>R211+1</f>
        <v>202606</v>
      </c>
      <c r="T211" s="188" t="s">
        <v>8</v>
      </c>
      <c r="U211" s="298">
        <f>IF(ISBLANK(Q211),"",IF(LEFT(T211,2)="一括",IF(T211="一括(検収時)",S211,R211),Q211))</f>
        <v>202606</v>
      </c>
      <c r="V211" s="299" t="str">
        <f>IF(ISBLANK(T211),"",L211)</f>
        <v>IDR</v>
      </c>
      <c r="W211" s="80">
        <f>P211</f>
        <v>200000000</v>
      </c>
      <c r="X211" s="301"/>
      <c r="Y211" s="299"/>
      <c r="Z211" s="300"/>
      <c r="AA211" s="301"/>
      <c r="AB211" s="299"/>
      <c r="AC211" s="300"/>
      <c r="AD211" s="226">
        <f>R211</f>
        <v>202605</v>
      </c>
      <c r="AE211" s="105">
        <f>AD211</f>
        <v>202605</v>
      </c>
      <c r="AF211" s="337"/>
    </row>
    <row r="212" spans="1:33" s="175" customFormat="1">
      <c r="A212" s="165"/>
      <c r="B212" s="163"/>
      <c r="C212" s="207"/>
      <c r="D212" s="211"/>
      <c r="E212" s="296">
        <v>2</v>
      </c>
      <c r="F212" s="190" t="s">
        <v>248</v>
      </c>
      <c r="G212" s="190" t="s">
        <v>13</v>
      </c>
      <c r="H212" s="189" t="s">
        <v>5</v>
      </c>
      <c r="I212" s="188">
        <v>1</v>
      </c>
      <c r="J212" s="187" t="s">
        <v>14</v>
      </c>
      <c r="K212" s="181" t="s">
        <v>6</v>
      </c>
      <c r="L212" s="180" t="s">
        <v>7</v>
      </c>
      <c r="M212" s="180">
        <v>119000000</v>
      </c>
      <c r="N212" s="364">
        <v>119000000</v>
      </c>
      <c r="O212" s="362">
        <f>IF(ISBLANK(L212),0,IF(L212="IDR",1,IF(L212="YEN",#REF!,IF(L212="USD",#REF!))))</f>
        <v>1</v>
      </c>
      <c r="P212" s="362">
        <f t="shared" si="43"/>
        <v>119000000</v>
      </c>
      <c r="Q212" s="177">
        <v>202606</v>
      </c>
      <c r="R212" s="16">
        <f t="shared" si="35"/>
        <v>202607</v>
      </c>
      <c r="S212" s="177"/>
      <c r="T212" s="188" t="s">
        <v>8</v>
      </c>
      <c r="U212" s="298">
        <f>IF(ISBLANK(Q212),"",IF(LEFT(T212,2)="一括",IF(T212="一括(検収時)",S212,R212),Q212))</f>
        <v>0</v>
      </c>
      <c r="V212" s="299" t="str">
        <f>IF(ISBLANK(T212),"",L212)</f>
        <v>IDR</v>
      </c>
      <c r="W212" s="80">
        <f>P212</f>
        <v>119000000</v>
      </c>
      <c r="X212" s="301"/>
      <c r="Y212" s="299"/>
      <c r="Z212" s="300"/>
      <c r="AA212" s="301"/>
      <c r="AB212" s="299"/>
      <c r="AC212" s="300"/>
      <c r="AD212" s="226">
        <f>R212</f>
        <v>202607</v>
      </c>
      <c r="AE212" s="176"/>
      <c r="AF212" s="342"/>
    </row>
    <row r="213" spans="1:33" s="175" customFormat="1">
      <c r="A213" s="165"/>
      <c r="B213" s="163"/>
      <c r="C213" s="207"/>
      <c r="D213" s="211"/>
      <c r="E213" s="296">
        <v>3</v>
      </c>
      <c r="F213" s="321" t="s">
        <v>249</v>
      </c>
      <c r="G213" s="190" t="s">
        <v>13</v>
      </c>
      <c r="H213" s="189" t="s">
        <v>5</v>
      </c>
      <c r="I213" s="188">
        <v>1</v>
      </c>
      <c r="J213" s="187" t="s">
        <v>14</v>
      </c>
      <c r="K213" s="181" t="s">
        <v>6</v>
      </c>
      <c r="L213" s="180" t="s">
        <v>7</v>
      </c>
      <c r="M213" s="318">
        <v>150000000</v>
      </c>
      <c r="N213" s="302">
        <v>150000000</v>
      </c>
      <c r="O213" s="297">
        <f>IF(ISBLANK(L213),0,IF(L213="IDR",1,IF(L213="YEN",#REF!,IF(L213="USD",#REF!))))</f>
        <v>1</v>
      </c>
      <c r="P213" s="297">
        <f t="shared" si="43"/>
        <v>150000000</v>
      </c>
      <c r="Q213" s="177">
        <v>202608</v>
      </c>
      <c r="R213" s="16">
        <f t="shared" si="35"/>
        <v>202609</v>
      </c>
      <c r="S213" s="16">
        <f>R213+1</f>
        <v>202610</v>
      </c>
      <c r="T213" s="188" t="s">
        <v>8</v>
      </c>
      <c r="U213" s="298">
        <f>IF(ISBLANK(Q213),"",IF(LEFT(T213,2)="一括",IF(T213="一括(検収時)",S213,R213),Q213))</f>
        <v>202610</v>
      </c>
      <c r="V213" s="299" t="str">
        <f>IF(ISBLANK(T213),"",L213)</f>
        <v>IDR</v>
      </c>
      <c r="W213" s="80">
        <f>P213</f>
        <v>150000000</v>
      </c>
      <c r="X213" s="301"/>
      <c r="Y213" s="299"/>
      <c r="Z213" s="300"/>
      <c r="AA213" s="301"/>
      <c r="AB213" s="299"/>
      <c r="AC213" s="300"/>
      <c r="AD213" s="226">
        <f>R213</f>
        <v>202609</v>
      </c>
      <c r="AE213" s="105">
        <f>AD213</f>
        <v>202609</v>
      </c>
      <c r="AF213" s="337"/>
    </row>
    <row r="214" spans="1:33" s="175" customFormat="1" ht="24">
      <c r="A214" s="165"/>
      <c r="B214" s="163"/>
      <c r="C214" s="207"/>
      <c r="D214" s="268" t="s">
        <v>325</v>
      </c>
      <c r="E214" s="296">
        <v>4</v>
      </c>
      <c r="F214" s="269" t="s">
        <v>250</v>
      </c>
      <c r="G214" s="190" t="s">
        <v>13</v>
      </c>
      <c r="H214" s="189" t="s">
        <v>5</v>
      </c>
      <c r="I214" s="188">
        <v>1</v>
      </c>
      <c r="J214" s="187" t="s">
        <v>14</v>
      </c>
      <c r="K214" s="181" t="s">
        <v>6</v>
      </c>
      <c r="L214" s="180" t="s">
        <v>7</v>
      </c>
      <c r="M214" s="318">
        <v>260000000</v>
      </c>
      <c r="N214" s="302">
        <v>260000000</v>
      </c>
      <c r="O214" s="297">
        <f>IF(ISBLANK(L214),0,IF(L214="IDR",1,IF(L214="YEN",#REF!,IF(L214="USD",#REF!))))</f>
        <v>1</v>
      </c>
      <c r="P214" s="267">
        <f t="shared" si="43"/>
        <v>260000000</v>
      </c>
      <c r="Q214" s="177">
        <v>202609</v>
      </c>
      <c r="R214" s="16">
        <f t="shared" si="35"/>
        <v>202610</v>
      </c>
      <c r="S214" s="16">
        <f>R214+1</f>
        <v>202611</v>
      </c>
      <c r="T214" s="188" t="s">
        <v>8</v>
      </c>
      <c r="U214" s="298">
        <f>IF(ISBLANK(Q214),"",IF(LEFT(T214,2)="一括",IF(T214="一括(検収時)",S214,R214),Q214))</f>
        <v>202611</v>
      </c>
      <c r="V214" s="299" t="str">
        <f>IF(ISBLANK(T214),"",L214)</f>
        <v>IDR</v>
      </c>
      <c r="W214" s="80">
        <f>P214</f>
        <v>260000000</v>
      </c>
      <c r="X214" s="301"/>
      <c r="Y214" s="299"/>
      <c r="Z214" s="300"/>
      <c r="AA214" s="301"/>
      <c r="AB214" s="299"/>
      <c r="AC214" s="300"/>
      <c r="AD214" s="226">
        <f>R214</f>
        <v>202610</v>
      </c>
      <c r="AE214" s="105">
        <f>AD214</f>
        <v>202610</v>
      </c>
      <c r="AF214" s="337"/>
    </row>
    <row r="215" spans="1:33" s="21" customFormat="1" ht="14.45" customHeight="1">
      <c r="A215" s="121"/>
      <c r="B215" s="127"/>
      <c r="C215" s="120"/>
      <c r="D215" s="128"/>
      <c r="E215" s="129"/>
      <c r="F215" s="7"/>
      <c r="G215" s="8"/>
      <c r="H215" s="9"/>
      <c r="I215" s="10"/>
      <c r="J215" s="11"/>
      <c r="K215" s="12"/>
      <c r="L215" s="13"/>
      <c r="M215" s="77"/>
      <c r="N215" s="14"/>
      <c r="O215" s="22"/>
      <c r="P215" s="22"/>
      <c r="Q215" s="16"/>
      <c r="R215" s="16"/>
      <c r="S215" s="16"/>
      <c r="T215" s="10"/>
      <c r="U215" s="218"/>
      <c r="V215" s="79"/>
      <c r="W215" s="80"/>
      <c r="X215" s="78"/>
      <c r="Y215" s="79"/>
      <c r="Z215" s="80"/>
      <c r="AA215" s="78"/>
      <c r="AB215" s="79"/>
      <c r="AC215" s="80"/>
      <c r="AD215" s="221"/>
      <c r="AE215" s="105"/>
      <c r="AF215" s="337"/>
    </row>
    <row r="216" spans="1:33" s="21" customFormat="1" ht="14.45" customHeight="1">
      <c r="A216" s="121" t="s">
        <v>241</v>
      </c>
      <c r="B216" s="127" t="s">
        <v>251</v>
      </c>
      <c r="C216" s="120">
        <f>SUM(P216:P223)</f>
        <v>2250000000</v>
      </c>
      <c r="D216" s="128"/>
      <c r="E216" s="129">
        <v>1</v>
      </c>
      <c r="F216" s="264" t="s">
        <v>252</v>
      </c>
      <c r="G216" s="8" t="s">
        <v>13</v>
      </c>
      <c r="H216" s="9" t="s">
        <v>5</v>
      </c>
      <c r="I216" s="10">
        <v>1</v>
      </c>
      <c r="J216" s="11" t="s">
        <v>14</v>
      </c>
      <c r="K216" s="12" t="s">
        <v>6</v>
      </c>
      <c r="L216" s="13" t="s">
        <v>7</v>
      </c>
      <c r="M216" s="266">
        <v>200000000</v>
      </c>
      <c r="N216" s="126">
        <v>200000000</v>
      </c>
      <c r="O216" s="18">
        <v>1</v>
      </c>
      <c r="P216" s="15">
        <f t="shared" si="43"/>
        <v>200000000</v>
      </c>
      <c r="Q216" s="344">
        <v>202605</v>
      </c>
      <c r="R216" s="16">
        <f>Q216+2</f>
        <v>202607</v>
      </c>
      <c r="S216" s="16">
        <f t="shared" ref="S216:S223" si="57">R216+1</f>
        <v>202608</v>
      </c>
      <c r="T216" s="10" t="s">
        <v>8</v>
      </c>
      <c r="U216" s="218">
        <f>IF(ISBLANK(Q216),"",IF(LEFT(T216,2)="一括",IF(T216="一括(検収時)",S216,R216),Q216))</f>
        <v>202608</v>
      </c>
      <c r="V216" s="79" t="str">
        <f t="shared" ref="V216:V221" si="58">IF(ISBLANK(T216),"",L216)</f>
        <v>IDR</v>
      </c>
      <c r="W216" s="80">
        <f t="shared" ref="W216:W223" si="59">P216</f>
        <v>200000000</v>
      </c>
      <c r="X216" s="78"/>
      <c r="Y216" s="79"/>
      <c r="Z216" s="80"/>
      <c r="AA216" s="78"/>
      <c r="AB216" s="79"/>
      <c r="AC216" s="80"/>
      <c r="AD216" s="221">
        <f t="shared" ref="AD216:AD223" si="60">R216</f>
        <v>202607</v>
      </c>
      <c r="AE216" s="105">
        <f t="shared" ref="AE216:AE223" si="61">AD216</f>
        <v>202607</v>
      </c>
      <c r="AF216" s="337"/>
    </row>
    <row r="217" spans="1:33" s="21" customFormat="1" ht="13.5" hidden="1" customHeight="1">
      <c r="A217" s="121"/>
      <c r="B217" s="127"/>
      <c r="C217" s="120"/>
      <c r="D217" s="128"/>
      <c r="E217" s="129">
        <v>2</v>
      </c>
      <c r="F217" s="264" t="s">
        <v>253</v>
      </c>
      <c r="G217" s="8" t="s">
        <v>13</v>
      </c>
      <c r="H217" s="9" t="s">
        <v>5</v>
      </c>
      <c r="I217" s="10">
        <v>1</v>
      </c>
      <c r="J217" s="11" t="s">
        <v>14</v>
      </c>
      <c r="K217" s="12" t="s">
        <v>6</v>
      </c>
      <c r="L217" s="13" t="s">
        <v>7</v>
      </c>
      <c r="M217" s="77"/>
      <c r="N217" s="263">
        <v>0</v>
      </c>
      <c r="O217" s="79">
        <v>1</v>
      </c>
      <c r="P217" s="22">
        <f t="shared" si="43"/>
        <v>0</v>
      </c>
      <c r="Q217" s="16">
        <v>202607</v>
      </c>
      <c r="R217" s="16">
        <f>Q217+2</f>
        <v>202609</v>
      </c>
      <c r="S217" s="16">
        <f t="shared" si="57"/>
        <v>202610</v>
      </c>
      <c r="T217" s="10" t="s">
        <v>8</v>
      </c>
      <c r="U217" s="218">
        <f t="shared" ref="U217" si="62">IF(ISBLANK(Q217),"",IF(LEFT(T217,2)="一括",IF(T217="一括(検収時)",S217,R217),Q217))</f>
        <v>202610</v>
      </c>
      <c r="V217" s="79" t="str">
        <f t="shared" si="58"/>
        <v>IDR</v>
      </c>
      <c r="W217" s="80">
        <f t="shared" si="59"/>
        <v>0</v>
      </c>
      <c r="X217" s="78"/>
      <c r="Y217" s="79"/>
      <c r="Z217" s="80"/>
      <c r="AA217" s="78"/>
      <c r="AB217" s="79"/>
      <c r="AC217" s="80"/>
      <c r="AD217" s="221">
        <f t="shared" si="60"/>
        <v>202609</v>
      </c>
      <c r="AE217" s="105">
        <f t="shared" si="61"/>
        <v>202609</v>
      </c>
      <c r="AF217" s="337"/>
    </row>
    <row r="218" spans="1:33" s="63" customFormat="1" ht="14.45" customHeight="1">
      <c r="A218" s="202"/>
      <c r="B218" s="192"/>
      <c r="C218" s="195"/>
      <c r="D218" s="194"/>
      <c r="E218" s="303">
        <v>3</v>
      </c>
      <c r="F218" s="345" t="s">
        <v>254</v>
      </c>
      <c r="G218" s="174" t="s">
        <v>13</v>
      </c>
      <c r="H218" s="173" t="s">
        <v>5</v>
      </c>
      <c r="I218" s="122">
        <v>1</v>
      </c>
      <c r="J218" s="172" t="s">
        <v>14</v>
      </c>
      <c r="K218" s="171" t="s">
        <v>6</v>
      </c>
      <c r="L218" s="170" t="s">
        <v>7</v>
      </c>
      <c r="M218" s="319">
        <v>0</v>
      </c>
      <c r="N218" s="169">
        <v>0</v>
      </c>
      <c r="O218" s="304">
        <v>1</v>
      </c>
      <c r="P218" s="22">
        <f t="shared" si="43"/>
        <v>0</v>
      </c>
      <c r="Q218" s="167">
        <v>202606</v>
      </c>
      <c r="R218" s="16">
        <f t="shared" ref="R218:R221" si="63">Q218+2</f>
        <v>202608</v>
      </c>
      <c r="S218" s="16">
        <f t="shared" si="57"/>
        <v>202609</v>
      </c>
      <c r="T218" s="188" t="s">
        <v>8</v>
      </c>
      <c r="U218" s="305">
        <f>IF(ISBLANK(Q218),"",IF(LEFT(T218,2)="一括",IF(T218="一括(検収時)",S218,R218),Q218))</f>
        <v>202609</v>
      </c>
      <c r="V218" s="304" t="str">
        <f t="shared" si="58"/>
        <v>IDR</v>
      </c>
      <c r="W218" s="306">
        <f t="shared" si="59"/>
        <v>0</v>
      </c>
      <c r="X218" s="305"/>
      <c r="Y218" s="304"/>
      <c r="Z218" s="306"/>
      <c r="AA218" s="305"/>
      <c r="AB218" s="304"/>
      <c r="AC218" s="306"/>
      <c r="AD218" s="198">
        <f t="shared" si="60"/>
        <v>202608</v>
      </c>
      <c r="AE218" s="105">
        <f t="shared" si="61"/>
        <v>202608</v>
      </c>
      <c r="AF218" s="337"/>
    </row>
    <row r="219" spans="1:33" s="63" customFormat="1" ht="14.45" customHeight="1">
      <c r="A219" s="202"/>
      <c r="B219" s="192"/>
      <c r="C219" s="195"/>
      <c r="D219" s="194"/>
      <c r="E219" s="303">
        <v>4</v>
      </c>
      <c r="F219" s="264" t="s">
        <v>255</v>
      </c>
      <c r="G219" s="174" t="s">
        <v>13</v>
      </c>
      <c r="H219" s="173" t="s">
        <v>5</v>
      </c>
      <c r="I219" s="122">
        <v>1</v>
      </c>
      <c r="J219" s="172" t="s">
        <v>14</v>
      </c>
      <c r="K219" s="171" t="s">
        <v>6</v>
      </c>
      <c r="L219" s="170" t="s">
        <v>7</v>
      </c>
      <c r="M219" s="265">
        <v>1600000000</v>
      </c>
      <c r="N219" s="326">
        <v>1600000000</v>
      </c>
      <c r="O219" s="168">
        <v>1</v>
      </c>
      <c r="P219" s="15">
        <f t="shared" si="43"/>
        <v>1600000000</v>
      </c>
      <c r="Q219" s="325">
        <v>202607</v>
      </c>
      <c r="R219" s="16">
        <f t="shared" si="63"/>
        <v>202609</v>
      </c>
      <c r="S219" s="16">
        <f t="shared" si="57"/>
        <v>202610</v>
      </c>
      <c r="T219" s="188" t="s">
        <v>8</v>
      </c>
      <c r="U219" s="305">
        <f t="shared" ref="U219:U223" si="64">IF(ISBLANK(Q219),"",IF(LEFT(T219,2)="一括",IF(T219="一括(検収時)",S219,R219),Q219))</f>
        <v>202610</v>
      </c>
      <c r="V219" s="304" t="str">
        <f t="shared" si="58"/>
        <v>IDR</v>
      </c>
      <c r="W219" s="306">
        <f t="shared" si="59"/>
        <v>1600000000</v>
      </c>
      <c r="X219" s="305"/>
      <c r="Y219" s="304"/>
      <c r="Z219" s="306"/>
      <c r="AA219" s="305"/>
      <c r="AB219" s="304"/>
      <c r="AC219" s="306"/>
      <c r="AD219" s="198">
        <f t="shared" si="60"/>
        <v>202609</v>
      </c>
      <c r="AE219" s="105">
        <f t="shared" si="61"/>
        <v>202609</v>
      </c>
      <c r="AF219" s="337"/>
    </row>
    <row r="220" spans="1:33" s="63" customFormat="1" ht="14.45" customHeight="1">
      <c r="A220" s="202"/>
      <c r="B220" s="192"/>
      <c r="C220" s="195"/>
      <c r="D220" s="194"/>
      <c r="E220" s="303">
        <v>5</v>
      </c>
      <c r="F220" s="345" t="s">
        <v>256</v>
      </c>
      <c r="G220" s="174" t="s">
        <v>13</v>
      </c>
      <c r="H220" s="173" t="s">
        <v>5</v>
      </c>
      <c r="I220" s="122">
        <v>1</v>
      </c>
      <c r="J220" s="172" t="s">
        <v>14</v>
      </c>
      <c r="K220" s="171" t="s">
        <v>6</v>
      </c>
      <c r="L220" s="170" t="s">
        <v>7</v>
      </c>
      <c r="M220" s="319">
        <v>0</v>
      </c>
      <c r="N220" s="262">
        <v>0</v>
      </c>
      <c r="O220" s="304"/>
      <c r="P220" s="22">
        <f t="shared" si="43"/>
        <v>0</v>
      </c>
      <c r="Q220" s="167"/>
      <c r="R220" s="16"/>
      <c r="S220" s="16"/>
      <c r="T220" s="188"/>
      <c r="U220" s="305"/>
      <c r="V220" s="304" t="str">
        <f t="shared" si="58"/>
        <v/>
      </c>
      <c r="W220" s="306">
        <f t="shared" si="59"/>
        <v>0</v>
      </c>
      <c r="X220" s="305"/>
      <c r="Y220" s="304"/>
      <c r="Z220" s="306"/>
      <c r="AA220" s="305"/>
      <c r="AB220" s="304"/>
      <c r="AC220" s="306"/>
      <c r="AD220" s="198">
        <f t="shared" si="60"/>
        <v>0</v>
      </c>
      <c r="AE220" s="105">
        <f t="shared" si="61"/>
        <v>0</v>
      </c>
      <c r="AF220" s="337"/>
    </row>
    <row r="221" spans="1:33" s="63" customFormat="1" ht="14.45" customHeight="1">
      <c r="A221" s="202"/>
      <c r="B221" s="192"/>
      <c r="C221" s="195"/>
      <c r="D221" s="194"/>
      <c r="E221" s="303">
        <v>6</v>
      </c>
      <c r="F221" s="264" t="s">
        <v>326</v>
      </c>
      <c r="G221" s="174" t="s">
        <v>13</v>
      </c>
      <c r="H221" s="173" t="s">
        <v>5</v>
      </c>
      <c r="I221" s="122">
        <v>1</v>
      </c>
      <c r="J221" s="172" t="s">
        <v>14</v>
      </c>
      <c r="K221" s="171" t="s">
        <v>6</v>
      </c>
      <c r="L221" s="170" t="s">
        <v>7</v>
      </c>
      <c r="M221" s="265">
        <v>350000000</v>
      </c>
      <c r="N221" s="326">
        <v>350000000</v>
      </c>
      <c r="O221" s="168">
        <v>1</v>
      </c>
      <c r="P221" s="15">
        <f t="shared" si="43"/>
        <v>350000000</v>
      </c>
      <c r="Q221" s="325">
        <v>202604</v>
      </c>
      <c r="R221" s="16">
        <f t="shared" si="63"/>
        <v>202606</v>
      </c>
      <c r="S221" s="16">
        <f t="shared" si="57"/>
        <v>202607</v>
      </c>
      <c r="T221" s="188" t="s">
        <v>8</v>
      </c>
      <c r="U221" s="305">
        <f t="shared" si="64"/>
        <v>202607</v>
      </c>
      <c r="V221" s="304" t="str">
        <f t="shared" si="58"/>
        <v>IDR</v>
      </c>
      <c r="W221" s="306">
        <f t="shared" si="59"/>
        <v>350000000</v>
      </c>
      <c r="X221" s="305"/>
      <c r="Y221" s="304"/>
      <c r="Z221" s="306"/>
      <c r="AA221" s="305"/>
      <c r="AB221" s="304"/>
      <c r="AC221" s="306"/>
      <c r="AD221" s="198">
        <f t="shared" si="60"/>
        <v>202606</v>
      </c>
      <c r="AE221" s="105">
        <f t="shared" si="61"/>
        <v>202606</v>
      </c>
      <c r="AF221" s="337"/>
    </row>
    <row r="222" spans="1:33" s="63" customFormat="1" ht="14.45" customHeight="1">
      <c r="A222" s="202"/>
      <c r="B222" s="192"/>
      <c r="C222" s="195"/>
      <c r="D222" s="194"/>
      <c r="E222" s="303">
        <v>7</v>
      </c>
      <c r="F222" s="345" t="s">
        <v>257</v>
      </c>
      <c r="G222" s="174" t="s">
        <v>13</v>
      </c>
      <c r="H222" s="173" t="s">
        <v>5</v>
      </c>
      <c r="I222" s="122">
        <v>1</v>
      </c>
      <c r="J222" s="172" t="s">
        <v>14</v>
      </c>
      <c r="K222" s="171" t="s">
        <v>6</v>
      </c>
      <c r="L222" s="170" t="s">
        <v>7</v>
      </c>
      <c r="M222" s="319">
        <v>0</v>
      </c>
      <c r="N222" s="262">
        <v>0</v>
      </c>
      <c r="O222" s="304"/>
      <c r="P222" s="22">
        <f t="shared" si="43"/>
        <v>0</v>
      </c>
      <c r="Q222" s="167"/>
      <c r="R222" s="16"/>
      <c r="S222" s="16"/>
      <c r="T222" s="188"/>
      <c r="U222" s="305"/>
      <c r="V222" s="304"/>
      <c r="W222" s="306">
        <f t="shared" si="59"/>
        <v>0</v>
      </c>
      <c r="X222" s="305"/>
      <c r="Y222" s="304"/>
      <c r="Z222" s="306"/>
      <c r="AA222" s="305"/>
      <c r="AB222" s="304"/>
      <c r="AC222" s="306"/>
      <c r="AD222" s="198">
        <f t="shared" si="60"/>
        <v>0</v>
      </c>
      <c r="AE222" s="105">
        <f t="shared" si="61"/>
        <v>0</v>
      </c>
      <c r="AF222" s="337"/>
    </row>
    <row r="223" spans="1:33" s="63" customFormat="1" ht="14.45" customHeight="1" thickBot="1">
      <c r="A223" s="202"/>
      <c r="B223" s="192"/>
      <c r="C223" s="195"/>
      <c r="D223" s="194"/>
      <c r="E223" s="303">
        <v>8</v>
      </c>
      <c r="F223" s="270" t="s">
        <v>258</v>
      </c>
      <c r="G223" s="174" t="s">
        <v>13</v>
      </c>
      <c r="H223" s="173" t="s">
        <v>5</v>
      </c>
      <c r="I223" s="122">
        <v>2</v>
      </c>
      <c r="J223" s="172" t="s">
        <v>14</v>
      </c>
      <c r="K223" s="171" t="s">
        <v>6</v>
      </c>
      <c r="L223" s="170" t="s">
        <v>7</v>
      </c>
      <c r="M223" s="319">
        <v>100000000</v>
      </c>
      <c r="N223" s="169">
        <v>100000000</v>
      </c>
      <c r="O223" s="304">
        <v>1</v>
      </c>
      <c r="P223" s="22">
        <f t="shared" si="43"/>
        <v>100000000</v>
      </c>
      <c r="Q223" s="347">
        <v>202604</v>
      </c>
      <c r="R223" s="16">
        <f t="shared" ref="R223" si="65">Q223+1</f>
        <v>202605</v>
      </c>
      <c r="S223" s="16">
        <f t="shared" si="57"/>
        <v>202606</v>
      </c>
      <c r="T223" s="188" t="s">
        <v>8</v>
      </c>
      <c r="U223" s="305">
        <f t="shared" si="64"/>
        <v>202606</v>
      </c>
      <c r="V223" s="304" t="str">
        <f>IF(ISBLANK(T223),"",L223)</f>
        <v>IDR</v>
      </c>
      <c r="W223" s="306">
        <f t="shared" si="59"/>
        <v>100000000</v>
      </c>
      <c r="X223" s="305"/>
      <c r="Y223" s="304"/>
      <c r="Z223" s="306"/>
      <c r="AA223" s="305"/>
      <c r="AB223" s="304"/>
      <c r="AC223" s="306"/>
      <c r="AD223" s="198">
        <f t="shared" si="60"/>
        <v>202605</v>
      </c>
      <c r="AE223" s="105">
        <f t="shared" si="61"/>
        <v>202605</v>
      </c>
      <c r="AF223" s="337"/>
    </row>
    <row r="224" spans="1:33" s="147" customFormat="1" ht="20.25" customHeight="1" thickBot="1">
      <c r="A224" s="257"/>
      <c r="B224" s="193" t="s">
        <v>17</v>
      </c>
      <c r="C224" s="208">
        <f>SUM(C168:C217)</f>
        <v>4367000000</v>
      </c>
      <c r="D224" s="258"/>
      <c r="E224" s="307"/>
      <c r="F224" s="259"/>
      <c r="G224" s="259"/>
      <c r="H224" s="259"/>
      <c r="I224" s="260"/>
      <c r="J224" s="308"/>
      <c r="K224" s="308"/>
      <c r="L224" s="309"/>
      <c r="M224" s="310">
        <f>SUM(M167:M223)</f>
        <v>4367000000</v>
      </c>
      <c r="N224" s="310">
        <f>SUM(N167:N223)</f>
        <v>4367000000</v>
      </c>
      <c r="O224" s="311"/>
      <c r="P224" s="311"/>
      <c r="Q224" s="312"/>
      <c r="R224" s="312"/>
      <c r="S224" s="312"/>
      <c r="T224" s="313"/>
      <c r="U224" s="313"/>
      <c r="V224" s="311"/>
      <c r="W224" s="314"/>
      <c r="X224" s="314"/>
      <c r="Y224" s="314"/>
      <c r="Z224" s="314"/>
      <c r="AA224" s="314"/>
      <c r="AB224" s="314"/>
      <c r="AC224" s="314"/>
      <c r="AD224" s="260"/>
      <c r="AE224" s="261"/>
      <c r="AF224" s="343"/>
      <c r="AG224" s="315"/>
    </row>
    <row r="225" spans="1:37" ht="13.5">
      <c r="F225" s="329" t="s">
        <v>327</v>
      </c>
    </row>
    <row r="226" spans="1:37">
      <c r="F226" s="360" t="s">
        <v>239</v>
      </c>
      <c r="M226" s="346"/>
      <c r="N226" s="359">
        <f>32000000-24426200</f>
        <v>7573800</v>
      </c>
      <c r="Q226" s="44"/>
      <c r="R226" s="44"/>
      <c r="S226" s="44"/>
      <c r="T226" s="44"/>
      <c r="U226" s="44"/>
      <c r="W226" s="44"/>
    </row>
    <row r="227" spans="1:37">
      <c r="F227" s="269" t="s">
        <v>250</v>
      </c>
      <c r="M227" s="351"/>
      <c r="N227" s="358">
        <v>260000000</v>
      </c>
      <c r="Q227" s="44"/>
      <c r="R227" s="44"/>
      <c r="S227" s="44"/>
      <c r="T227" s="44"/>
      <c r="U227" s="44"/>
      <c r="W227" s="44"/>
    </row>
    <row r="228" spans="1:37">
      <c r="F228" s="348" t="s">
        <v>226</v>
      </c>
      <c r="M228" s="350"/>
      <c r="N228" s="358">
        <v>19000000</v>
      </c>
    </row>
    <row r="229" spans="1:37" ht="13.5" customHeight="1">
      <c r="F229" s="356" t="s">
        <v>328</v>
      </c>
      <c r="J229" s="334"/>
      <c r="K229" s="334"/>
      <c r="L229" s="334"/>
      <c r="M229" s="352"/>
      <c r="N229" s="355">
        <f>19000000-12500000</f>
        <v>6500000</v>
      </c>
      <c r="O229" s="349"/>
      <c r="P229" s="349"/>
      <c r="Q229" s="349"/>
      <c r="R229" s="349"/>
      <c r="S229" s="349"/>
      <c r="T229" s="349"/>
      <c r="U229" s="349"/>
      <c r="V229" s="349"/>
      <c r="W229" s="349"/>
    </row>
    <row r="230" spans="1:37" s="44" customFormat="1">
      <c r="A230" s="41"/>
      <c r="B230" s="42"/>
      <c r="C230" s="43"/>
      <c r="D230" s="43"/>
      <c r="E230" s="76"/>
      <c r="F230" s="357" t="s">
        <v>258</v>
      </c>
      <c r="G230" s="42"/>
      <c r="H230" s="42"/>
      <c r="I230" s="41"/>
      <c r="J230" s="334"/>
      <c r="K230" s="334"/>
      <c r="L230" s="334"/>
      <c r="M230" s="352"/>
      <c r="N230" s="355">
        <f>100000000-100000000</f>
        <v>0</v>
      </c>
      <c r="O230" s="349"/>
      <c r="P230" s="349"/>
      <c r="Q230" s="349"/>
      <c r="R230" s="349"/>
      <c r="S230" s="349"/>
      <c r="T230" s="349"/>
      <c r="U230" s="349"/>
      <c r="V230" s="349"/>
      <c r="W230" s="349"/>
      <c r="X230" s="45"/>
      <c r="Y230" s="45"/>
      <c r="Z230" s="45"/>
      <c r="AA230" s="45"/>
      <c r="AB230" s="45"/>
      <c r="AC230" s="45"/>
      <c r="AD230" s="41"/>
      <c r="AE230" s="45"/>
      <c r="AF230" s="45"/>
      <c r="AG230" s="46"/>
      <c r="AH230" s="45"/>
      <c r="AI230" s="45"/>
      <c r="AJ230" s="45"/>
      <c r="AK230" s="45"/>
    </row>
    <row r="231" spans="1:37" s="44" customFormat="1">
      <c r="A231" s="41"/>
      <c r="B231" s="42"/>
      <c r="C231" s="43"/>
      <c r="D231" s="43"/>
      <c r="E231" s="76"/>
      <c r="F231" s="328"/>
      <c r="G231" s="42"/>
      <c r="H231" s="42"/>
      <c r="I231" s="41"/>
      <c r="J231" s="42"/>
      <c r="K231" s="42"/>
      <c r="M231" s="353" t="s">
        <v>17</v>
      </c>
      <c r="N231" s="354">
        <f>SUM(N226:N230)</f>
        <v>293073800</v>
      </c>
      <c r="Q231" s="45"/>
      <c r="R231" s="45"/>
      <c r="S231" s="45"/>
      <c r="T231" s="41"/>
      <c r="U231" s="41"/>
      <c r="W231" s="45"/>
      <c r="X231" s="45"/>
      <c r="Y231" s="45"/>
      <c r="Z231" s="45"/>
      <c r="AA231" s="45"/>
      <c r="AB231" s="45"/>
      <c r="AC231" s="45"/>
      <c r="AD231" s="41"/>
      <c r="AE231" s="45"/>
      <c r="AF231" s="45"/>
      <c r="AG231" s="46"/>
      <c r="AH231" s="45"/>
      <c r="AI231" s="45"/>
      <c r="AJ231" s="45"/>
      <c r="AK231" s="45"/>
    </row>
    <row r="232" spans="1:37">
      <c r="AG232" s="332" t="s">
        <v>329</v>
      </c>
      <c r="AH232" s="332" t="s">
        <v>330</v>
      </c>
      <c r="AI232" s="332" t="s">
        <v>331</v>
      </c>
    </row>
    <row r="233" spans="1:37">
      <c r="K233" s="45"/>
      <c r="L233" s="42"/>
      <c r="AG233" s="397"/>
      <c r="AH233" s="397"/>
      <c r="AI233" s="397"/>
    </row>
    <row r="234" spans="1:37">
      <c r="AG234" s="398"/>
      <c r="AH234" s="398"/>
      <c r="AI234" s="398"/>
    </row>
    <row r="235" spans="1:37">
      <c r="AG235" s="398"/>
      <c r="AH235" s="398"/>
      <c r="AI235" s="398"/>
    </row>
    <row r="236" spans="1:37">
      <c r="AG236" s="399"/>
      <c r="AH236" s="399"/>
      <c r="AI236" s="399"/>
    </row>
    <row r="237" spans="1:37">
      <c r="AG237" s="332"/>
      <c r="AH237" s="332"/>
      <c r="AI237" s="332"/>
    </row>
  </sheetData>
  <mergeCells count="41">
    <mergeCell ref="AG233:AG236"/>
    <mergeCell ref="AH233:AH236"/>
    <mergeCell ref="AI233:AI236"/>
    <mergeCell ref="A1:F2"/>
    <mergeCell ref="A5:A8"/>
    <mergeCell ref="B5:B8"/>
    <mergeCell ref="C5:C6"/>
    <mergeCell ref="D5:D6"/>
    <mergeCell ref="E5:E8"/>
    <mergeCell ref="F5:F8"/>
    <mergeCell ref="P6:P7"/>
    <mergeCell ref="Q6:Q7"/>
    <mergeCell ref="R6:R7"/>
    <mergeCell ref="S6:S7"/>
    <mergeCell ref="T6:AC6"/>
    <mergeCell ref="X7:X8"/>
    <mergeCell ref="Y7:Y8"/>
    <mergeCell ref="AG6:AG8"/>
    <mergeCell ref="AH6:AH8"/>
    <mergeCell ref="Z7:Z8"/>
    <mergeCell ref="AA7:AA8"/>
    <mergeCell ref="AB7:AB8"/>
    <mergeCell ref="AC7:AC8"/>
    <mergeCell ref="AD6:AD7"/>
    <mergeCell ref="AE6:AE7"/>
    <mergeCell ref="D171:D172"/>
    <mergeCell ref="T7:T8"/>
    <mergeCell ref="U7:U8"/>
    <mergeCell ref="V7:V8"/>
    <mergeCell ref="W7:W8"/>
    <mergeCell ref="G7:G8"/>
    <mergeCell ref="H7:H8"/>
    <mergeCell ref="L7:L8"/>
    <mergeCell ref="M7:M8"/>
    <mergeCell ref="N7:N8"/>
    <mergeCell ref="I5:I8"/>
    <mergeCell ref="J5:J8"/>
    <mergeCell ref="K5:K8"/>
    <mergeCell ref="L5:AE5"/>
    <mergeCell ref="L6:N6"/>
    <mergeCell ref="O6:O8"/>
  </mergeCells>
  <phoneticPr fontId="58" type="noConversion"/>
  <dataValidations count="6">
    <dataValidation type="list" allowBlank="1" showInputMessage="1" showErrorMessage="1" sqref="T9:T224" xr:uid="{D8E7D96F-A585-4EAC-BD2A-0AF961E8A595}">
      <formula1>"一括(検収時),一括(CIF),DP2(30/70%),DP3(30/40/30%)"</formula1>
    </dataValidation>
    <dataValidation type="list" allowBlank="1" showInputMessage="1" showErrorMessage="1" sqref="H9:H85 H87:H224" xr:uid="{4DDCE49E-FC02-490A-BA52-323B2AAF39EC}">
      <formula1>"2：2W,4：4W,0：2W&amp;4W"</formula1>
    </dataValidation>
    <dataValidation type="list" allowBlank="1" showInputMessage="1" showErrorMessage="1" sqref="J9:J85 J87:J224" xr:uid="{47D2A85A-4F47-4FE7-874A-315F5F0D02AD}">
      <formula1>"1.新製品,2.ﾓﾃﾞﾙﾁｪﾝｼﾞ,3.合理化,4.更新・保全,5.研究開発,6.品質・試験,7.安全・環境,8.動力施設,9.一般管理"</formula1>
    </dataValidation>
    <dataValidation type="list" allowBlank="1" showInputMessage="1" showErrorMessage="1" sqref="K9:K85 K87:K224" xr:uid="{7998E3E9-5C69-4085-8E4F-8E8F64DA6F78}">
      <formula1>"〇:Yes,×:No"</formula1>
    </dataValidation>
    <dataValidation type="list" allowBlank="1" showInputMessage="1" showErrorMessage="1" sqref="L9:M85 L87:L224 M87:M223 M228:M229 M230" xr:uid="{0D343E1B-34DF-4DD5-AFB5-1F46A195B65A}">
      <formula1>"IDR,YEN,USD"</formula1>
    </dataValidation>
    <dataValidation type="list" allowBlank="1" showInputMessage="1" showErrorMessage="1" sqref="G9:G85 G87:G224" xr:uid="{5E00A10E-6ABE-4AB6-BF23-9FD37F36959C}">
      <formula1>"1:PLANT1,2:PLANT2,0:COMMON"</formula1>
    </dataValidation>
  </dataValidations>
  <pageMargins left="0.25" right="0.25" top="0.75" bottom="0.75" header="0.3" footer="0.3"/>
  <pageSetup paperSize="9" scale="42" fitToHeight="0" orientation="landscape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12.IT  (APPROVED).</vt:lpstr>
      <vt:lpstr>'12.IT  (APPROVED).'!Print_Area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TAKEO FUKUSHIMA</dc:creator>
  <cp:keywords/>
  <dc:description/>
  <cp:lastModifiedBy>PIK Fahmy Iqbal</cp:lastModifiedBy>
  <cp:revision/>
  <dcterms:created xsi:type="dcterms:W3CDTF">2007-12-24T00:49:49Z</dcterms:created>
  <dcterms:modified xsi:type="dcterms:W3CDTF">2026-06-18T08:34:50Z</dcterms:modified>
  <cp:category/>
  <cp:contentStatus/>
</cp:coreProperties>
</file>